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tudent-Performance-Dashboard\data\"/>
    </mc:Choice>
  </mc:AlternateContent>
  <xr:revisionPtr revIDLastSave="0" documentId="13_ncr:1_{EB702E2E-8AE5-4363-A4A0-F57AA50223E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" sheetId="1" r:id="rId1"/>
    <sheet name="Dashboard" sheetId="2" r:id="rId2"/>
    <sheet name="Dashboard.View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2" i="1"/>
  <c r="H2" i="1" s="1"/>
  <c r="I2" i="1" s="1"/>
  <c r="I26" i="1" l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</calcChain>
</file>

<file path=xl/sharedStrings.xml><?xml version="1.0" encoding="utf-8"?>
<sst xmlns="http://schemas.openxmlformats.org/spreadsheetml/2006/main" count="226" uniqueCount="121">
  <si>
    <t>StudentID</t>
  </si>
  <si>
    <t>Name</t>
  </si>
  <si>
    <t>Attendance</t>
  </si>
  <si>
    <t>Assignment</t>
  </si>
  <si>
    <t>MidExam</t>
  </si>
  <si>
    <t>FinalExam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</si>
  <si>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</si>
  <si>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</si>
  <si>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</si>
  <si>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</si>
  <si>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</si>
  <si>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</si>
  <si>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</si>
  <si>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</si>
  <si>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</si>
  <si>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</si>
  <si>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</si>
  <si>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</si>
  <si>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</si>
  <si>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</si>
  <si>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</si>
  <si>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</si>
  <si>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</si>
  <si>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</si>
  <si>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</si>
  <si>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</si>
  <si>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</si>
  <si>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</si>
  <si>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</si>
  <si>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</si>
  <si>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</si>
  <si>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</si>
  <si>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</si>
  <si>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</si>
  <si>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</si>
  <si>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</si>
  <si>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</si>
  <si>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</si>
  <si>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</si>
  <si>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</si>
  <si>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</si>
  <si>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</si>
  <si>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</si>
  <si>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</si>
  <si>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</si>
  <si>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</si>
  <si>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</si>
  <si>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</si>
  <si>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</si>
  <si>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</si>
  <si>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</si>
  <si>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</si>
  <si>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</si>
  <si>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</si>
  <si>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</si>
  <si>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</si>
  <si>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Nimal</t>
  </si>
  <si>
    <t>Kamal</t>
  </si>
  <si>
    <t>Sunil</t>
  </si>
  <si>
    <t>Amal</t>
  </si>
  <si>
    <t>Kasun</t>
  </si>
  <si>
    <t>Tharindu</t>
  </si>
  <si>
    <t>Isuru</t>
  </si>
  <si>
    <t>Dinuka</t>
  </si>
  <si>
    <t>Chamara</t>
  </si>
  <si>
    <t>Gayan</t>
  </si>
  <si>
    <t>Lalith</t>
  </si>
  <si>
    <t>Sandun</t>
  </si>
  <si>
    <t>Kusal</t>
  </si>
  <si>
    <t>Ruwan</t>
  </si>
  <si>
    <t>Madushan</t>
  </si>
  <si>
    <t>Shehan</t>
  </si>
  <si>
    <t>Kavindu</t>
  </si>
  <si>
    <t>Janith</t>
  </si>
  <si>
    <t>Dinesh</t>
  </si>
  <si>
    <t>Pradeep</t>
  </si>
  <si>
    <t>Roshan</t>
  </si>
  <si>
    <t>Ashan</t>
  </si>
  <si>
    <t>Charith</t>
  </si>
  <si>
    <t>Udara</t>
  </si>
  <si>
    <t>Nipuna</t>
  </si>
  <si>
    <t>Pasindu</t>
  </si>
  <si>
    <t>Supun</t>
  </si>
  <si>
    <t>Vishwa</t>
  </si>
  <si>
    <t>Nuwan</t>
  </si>
  <si>
    <t>Akila</t>
  </si>
  <si>
    <t>Buddhika</t>
  </si>
  <si>
    <t>Chathura</t>
  </si>
  <si>
    <t>Eranda</t>
  </si>
  <si>
    <t>Hansaka</t>
  </si>
  <si>
    <t>Indika</t>
  </si>
  <si>
    <t>Kalana</t>
  </si>
  <si>
    <t>Malith</t>
  </si>
  <si>
    <t>Naveen</t>
  </si>
  <si>
    <t>Oshada</t>
  </si>
  <si>
    <t>Pramod</t>
  </si>
  <si>
    <t>Ravindu</t>
  </si>
  <si>
    <t>Sahan</t>
  </si>
  <si>
    <t>Thilina</t>
  </si>
  <si>
    <t>Umesh</t>
  </si>
  <si>
    <t>Viraj</t>
  </si>
  <si>
    <t>Yasiru</t>
  </si>
  <si>
    <t>Zayan</t>
  </si>
  <si>
    <t>Achini</t>
  </si>
  <si>
    <t>Nipuni</t>
  </si>
  <si>
    <t>Dilani</t>
  </si>
  <si>
    <t>Total</t>
  </si>
  <si>
    <t>Average</t>
  </si>
  <si>
    <t>Risk Level</t>
  </si>
  <si>
    <t>Row Labels</t>
  </si>
  <si>
    <t>Grand Total</t>
  </si>
  <si>
    <t>Sum of Average</t>
  </si>
  <si>
    <t>Medium Risk</t>
  </si>
  <si>
    <t>High Risk</t>
  </si>
  <si>
    <t>Low Risk</t>
  </si>
  <si>
    <t>Count of Risk Level</t>
  </si>
  <si>
    <t>Total Student</t>
  </si>
  <si>
    <t>Average Score</t>
  </si>
  <si>
    <t>Pass Rate</t>
  </si>
  <si>
    <t>Average of Attendance</t>
  </si>
  <si>
    <t>Student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</si>
</sst>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ptos"/>
      <family val="2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3" fillId="5" borderId="1" xfId="1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4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[student_data.xlsx]Dashboard!PivotTable1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5</c:v>
                </c:pt>
                <c:pt idx="1">
                  <c:v>38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85-4342-8C39-6B86946102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6620160"/>
        <c:axId val="386620880"/>
      </c:barChart>
      <c:catAx>
        <c:axId val="3866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20880"/>
        <c:crosses val="autoZero"/>
        <c:auto val="1"/>
        <c:lblAlgn val="ctr"/>
        <c:lblOffset val="100"/>
        <c:noMultiLvlLbl val="0"/>
      </c:catAx>
      <c:valAx>
        <c:axId val="3866208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66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[student_data.xlsx]Dashboard!PivotTable1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Risk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8319054457815412"/>
          <c:y val="0.26363741952423342"/>
          <c:w val="0.39204872975783689"/>
          <c:h val="0.67390010619755625"/>
        </c:manualLayout>
      </c:layout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DF-4F81-9DFF-6DC16477E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DF-4F81-9DFF-6DC16477ED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DF-4F81-9DFF-6DC16477EDB3}"/>
              </c:ext>
            </c:extLst>
          </c:dPt>
          <c:cat>
            <c:strRef>
              <c:f>Dashboard!$A$4:$A$7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5</c:v>
                </c:pt>
                <c:pt idx="1">
                  <c:v>38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6-4B72-AE20-9FD6CB6F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[student_data.xlsx]Dashboard!PivotTable2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Dashboard!$A$16:$A$66</c:f>
              <c:strCache>
                <c:ptCount val="50"/>
                <c:pt idx="0">
                  <c:v>Achini</c:v>
                </c:pt>
                <c:pt idx="1">
                  <c:v>Akila</c:v>
                </c:pt>
                <c:pt idx="2">
                  <c:v>Amal</c:v>
                </c:pt>
                <c:pt idx="3">
                  <c:v>Ashan</c:v>
                </c:pt>
                <c:pt idx="4">
                  <c:v>Buddhika</c:v>
                </c:pt>
                <c:pt idx="5">
                  <c:v>Chamara</c:v>
                </c:pt>
                <c:pt idx="6">
                  <c:v>Charith</c:v>
                </c:pt>
                <c:pt idx="7">
                  <c:v>Chathura</c:v>
                </c:pt>
                <c:pt idx="8">
                  <c:v>Dilani</c:v>
                </c:pt>
                <c:pt idx="9">
                  <c:v>Dinesh</c:v>
                </c:pt>
                <c:pt idx="10">
                  <c:v>Dinuka</c:v>
                </c:pt>
                <c:pt idx="11">
                  <c:v>Eranda</c:v>
                </c:pt>
                <c:pt idx="12">
                  <c:v>Gayan</c:v>
                </c:pt>
                <c:pt idx="13">
                  <c:v>Hansaka</c:v>
                </c:pt>
                <c:pt idx="14">
                  <c:v>Indika</c:v>
                </c:pt>
                <c:pt idx="15">
                  <c:v>Isuru</c:v>
                </c:pt>
                <c:pt idx="16">
                  <c:v>Janith</c:v>
                </c:pt>
                <c:pt idx="17">
                  <c:v>Kalana</c:v>
                </c:pt>
                <c:pt idx="18">
                  <c:v>Kamal</c:v>
                </c:pt>
                <c:pt idx="19">
                  <c:v>Kasun</c:v>
                </c:pt>
                <c:pt idx="20">
                  <c:v>Kavindu</c:v>
                </c:pt>
                <c:pt idx="21">
                  <c:v>Kusal</c:v>
                </c:pt>
                <c:pt idx="22">
                  <c:v>Lalith</c:v>
                </c:pt>
                <c:pt idx="23">
                  <c:v>Madushan</c:v>
                </c:pt>
                <c:pt idx="24">
                  <c:v>Malith</c:v>
                </c:pt>
                <c:pt idx="25">
                  <c:v>Naveen</c:v>
                </c:pt>
                <c:pt idx="26">
                  <c:v>Nimal</c:v>
                </c:pt>
                <c:pt idx="27">
                  <c:v>Nipuna</c:v>
                </c:pt>
                <c:pt idx="28">
                  <c:v>Nipuni</c:v>
                </c:pt>
                <c:pt idx="29">
                  <c:v>Nuwan</c:v>
                </c:pt>
                <c:pt idx="30">
                  <c:v>Oshada</c:v>
                </c:pt>
                <c:pt idx="31">
                  <c:v>Pasindu</c:v>
                </c:pt>
                <c:pt idx="32">
                  <c:v>Pradeep</c:v>
                </c:pt>
                <c:pt idx="33">
                  <c:v>Pramod</c:v>
                </c:pt>
                <c:pt idx="34">
                  <c:v>Ravindu</c:v>
                </c:pt>
                <c:pt idx="35">
                  <c:v>Roshan</c:v>
                </c:pt>
                <c:pt idx="36">
                  <c:v>Ruwan</c:v>
                </c:pt>
                <c:pt idx="37">
                  <c:v>Sahan</c:v>
                </c:pt>
                <c:pt idx="38">
                  <c:v>Sandun</c:v>
                </c:pt>
                <c:pt idx="39">
                  <c:v>Shehan</c:v>
                </c:pt>
                <c:pt idx="40">
                  <c:v>Sunil</c:v>
                </c:pt>
                <c:pt idx="41">
                  <c:v>Supun</c:v>
                </c:pt>
                <c:pt idx="42">
                  <c:v>Tharindu</c:v>
                </c:pt>
                <c:pt idx="43">
                  <c:v>Thilina</c:v>
                </c:pt>
                <c:pt idx="44">
                  <c:v>Udara</c:v>
                </c:pt>
                <c:pt idx="45">
                  <c:v>Umesh</c:v>
                </c:pt>
                <c:pt idx="46">
                  <c:v>Viraj</c:v>
                </c:pt>
                <c:pt idx="47">
                  <c:v>Vishwa</c:v>
                </c:pt>
                <c:pt idx="48">
                  <c:v>Yasiru</c:v>
                </c:pt>
                <c:pt idx="49">
                  <c:v>Zayan</c:v>
                </c:pt>
              </c:strCache>
            </c:strRef>
          </c:cat>
          <c:val>
            <c:numRef>
              <c:f>Dashboard!$B$16:$B$66</c:f>
              <c:numCache>
                <c:formatCode>General</c:formatCode>
                <c:ptCount val="50"/>
                <c:pt idx="0">
                  <c:v>97.2</c:v>
                </c:pt>
                <c:pt idx="1">
                  <c:v>52</c:v>
                </c:pt>
                <c:pt idx="2">
                  <c:v>101.2</c:v>
                </c:pt>
                <c:pt idx="3">
                  <c:v>103.6</c:v>
                </c:pt>
                <c:pt idx="4">
                  <c:v>106.4</c:v>
                </c:pt>
                <c:pt idx="5">
                  <c:v>92</c:v>
                </c:pt>
                <c:pt idx="6">
                  <c:v>126.8</c:v>
                </c:pt>
                <c:pt idx="7">
                  <c:v>96.8</c:v>
                </c:pt>
                <c:pt idx="8">
                  <c:v>133.6</c:v>
                </c:pt>
                <c:pt idx="9">
                  <c:v>28.8</c:v>
                </c:pt>
                <c:pt idx="10">
                  <c:v>82</c:v>
                </c:pt>
                <c:pt idx="11">
                  <c:v>112.4</c:v>
                </c:pt>
                <c:pt idx="12">
                  <c:v>120.8</c:v>
                </c:pt>
                <c:pt idx="13">
                  <c:v>98.4</c:v>
                </c:pt>
                <c:pt idx="14">
                  <c:v>42.8</c:v>
                </c:pt>
                <c:pt idx="15">
                  <c:v>41.2</c:v>
                </c:pt>
                <c:pt idx="16">
                  <c:v>92.8</c:v>
                </c:pt>
                <c:pt idx="17">
                  <c:v>91.2</c:v>
                </c:pt>
                <c:pt idx="18">
                  <c:v>28</c:v>
                </c:pt>
                <c:pt idx="19">
                  <c:v>116.8</c:v>
                </c:pt>
                <c:pt idx="20">
                  <c:v>92.4</c:v>
                </c:pt>
                <c:pt idx="21">
                  <c:v>114.4</c:v>
                </c:pt>
                <c:pt idx="22">
                  <c:v>102.4</c:v>
                </c:pt>
                <c:pt idx="23">
                  <c:v>95.6</c:v>
                </c:pt>
                <c:pt idx="24">
                  <c:v>124.8</c:v>
                </c:pt>
                <c:pt idx="25">
                  <c:v>34.799999999999997</c:v>
                </c:pt>
                <c:pt idx="26">
                  <c:v>55.2</c:v>
                </c:pt>
                <c:pt idx="27">
                  <c:v>84.8</c:v>
                </c:pt>
                <c:pt idx="28">
                  <c:v>36</c:v>
                </c:pt>
                <c:pt idx="29">
                  <c:v>106.4</c:v>
                </c:pt>
                <c:pt idx="30">
                  <c:v>106.4</c:v>
                </c:pt>
                <c:pt idx="31">
                  <c:v>44.4</c:v>
                </c:pt>
                <c:pt idx="32">
                  <c:v>90</c:v>
                </c:pt>
                <c:pt idx="33">
                  <c:v>105.6</c:v>
                </c:pt>
                <c:pt idx="34">
                  <c:v>134</c:v>
                </c:pt>
                <c:pt idx="35">
                  <c:v>92.8</c:v>
                </c:pt>
                <c:pt idx="36">
                  <c:v>138.4</c:v>
                </c:pt>
                <c:pt idx="37">
                  <c:v>89.2</c:v>
                </c:pt>
                <c:pt idx="38">
                  <c:v>34.799999999999997</c:v>
                </c:pt>
                <c:pt idx="39">
                  <c:v>42</c:v>
                </c:pt>
                <c:pt idx="40">
                  <c:v>96.4</c:v>
                </c:pt>
                <c:pt idx="41">
                  <c:v>94.8</c:v>
                </c:pt>
                <c:pt idx="42">
                  <c:v>73.599999999999994</c:v>
                </c:pt>
                <c:pt idx="43">
                  <c:v>104.8</c:v>
                </c:pt>
                <c:pt idx="44">
                  <c:v>109.2</c:v>
                </c:pt>
                <c:pt idx="45">
                  <c:v>97.2</c:v>
                </c:pt>
                <c:pt idx="46">
                  <c:v>108</c:v>
                </c:pt>
                <c:pt idx="47">
                  <c:v>93.6</c:v>
                </c:pt>
                <c:pt idx="48">
                  <c:v>56.8</c:v>
                </c:pt>
                <c:pt idx="49">
                  <c:v>116.4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C-4430-B94E-FE001EC4A3F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8144712"/>
        <c:axId val="608146512"/>
      </c:barChart>
      <c:catAx>
        <c:axId val="60814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46512"/>
        <c:crosses val="autoZero"/>
        <c:auto val="1"/>
        <c:lblAlgn val="ctr"/>
        <c:lblOffset val="100"/>
        <c:noMultiLvlLbl val="0"/>
      </c:catAx>
      <c:valAx>
        <c:axId val="6081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4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[student_data.xlsx]Dashboard!PivotTable3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Attendance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Dashboard!$H$36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Dashboard!$G$37:$G$87</c:f>
              <c:strCache>
                <c:ptCount val="50"/>
                <c:pt idx="0">
                  <c:v>Achini</c:v>
                </c:pt>
                <c:pt idx="1">
                  <c:v>Akila</c:v>
                </c:pt>
                <c:pt idx="2">
                  <c:v>Amal</c:v>
                </c:pt>
                <c:pt idx="3">
                  <c:v>Ashan</c:v>
                </c:pt>
                <c:pt idx="4">
                  <c:v>Buddhika</c:v>
                </c:pt>
                <c:pt idx="5">
                  <c:v>Chamara</c:v>
                </c:pt>
                <c:pt idx="6">
                  <c:v>Charith</c:v>
                </c:pt>
                <c:pt idx="7">
                  <c:v>Chathura</c:v>
                </c:pt>
                <c:pt idx="8">
                  <c:v>Dilani</c:v>
                </c:pt>
                <c:pt idx="9">
                  <c:v>Dinesh</c:v>
                </c:pt>
                <c:pt idx="10">
                  <c:v>Dinuka</c:v>
                </c:pt>
                <c:pt idx="11">
                  <c:v>Eranda</c:v>
                </c:pt>
                <c:pt idx="12">
                  <c:v>Gayan</c:v>
                </c:pt>
                <c:pt idx="13">
                  <c:v>Hansaka</c:v>
                </c:pt>
                <c:pt idx="14">
                  <c:v>Indika</c:v>
                </c:pt>
                <c:pt idx="15">
                  <c:v>Isuru</c:v>
                </c:pt>
                <c:pt idx="16">
                  <c:v>Janith</c:v>
                </c:pt>
                <c:pt idx="17">
                  <c:v>Kalana</c:v>
                </c:pt>
                <c:pt idx="18">
                  <c:v>Kamal</c:v>
                </c:pt>
                <c:pt idx="19">
                  <c:v>Kasun</c:v>
                </c:pt>
                <c:pt idx="20">
                  <c:v>Kavindu</c:v>
                </c:pt>
                <c:pt idx="21">
                  <c:v>Kusal</c:v>
                </c:pt>
                <c:pt idx="22">
                  <c:v>Lalith</c:v>
                </c:pt>
                <c:pt idx="23">
                  <c:v>Madushan</c:v>
                </c:pt>
                <c:pt idx="24">
                  <c:v>Malith</c:v>
                </c:pt>
                <c:pt idx="25">
                  <c:v>Naveen</c:v>
                </c:pt>
                <c:pt idx="26">
                  <c:v>Nimal</c:v>
                </c:pt>
                <c:pt idx="27">
                  <c:v>Nipuna</c:v>
                </c:pt>
                <c:pt idx="28">
                  <c:v>Nipuni</c:v>
                </c:pt>
                <c:pt idx="29">
                  <c:v>Nuwan</c:v>
                </c:pt>
                <c:pt idx="30">
                  <c:v>Oshada</c:v>
                </c:pt>
                <c:pt idx="31">
                  <c:v>Pasindu</c:v>
                </c:pt>
                <c:pt idx="32">
                  <c:v>Pradeep</c:v>
                </c:pt>
                <c:pt idx="33">
                  <c:v>Pramod</c:v>
                </c:pt>
                <c:pt idx="34">
                  <c:v>Ravindu</c:v>
                </c:pt>
                <c:pt idx="35">
                  <c:v>Roshan</c:v>
                </c:pt>
                <c:pt idx="36">
                  <c:v>Ruwan</c:v>
                </c:pt>
                <c:pt idx="37">
                  <c:v>Sahan</c:v>
                </c:pt>
                <c:pt idx="38">
                  <c:v>Sandun</c:v>
                </c:pt>
                <c:pt idx="39">
                  <c:v>Shehan</c:v>
                </c:pt>
                <c:pt idx="40">
                  <c:v>Sunil</c:v>
                </c:pt>
                <c:pt idx="41">
                  <c:v>Supun</c:v>
                </c:pt>
                <c:pt idx="42">
                  <c:v>Tharindu</c:v>
                </c:pt>
                <c:pt idx="43">
                  <c:v>Thilina</c:v>
                </c:pt>
                <c:pt idx="44">
                  <c:v>Udara</c:v>
                </c:pt>
                <c:pt idx="45">
                  <c:v>Umesh</c:v>
                </c:pt>
                <c:pt idx="46">
                  <c:v>Viraj</c:v>
                </c:pt>
                <c:pt idx="47">
                  <c:v>Vishwa</c:v>
                </c:pt>
                <c:pt idx="48">
                  <c:v>Yasiru</c:v>
                </c:pt>
                <c:pt idx="49">
                  <c:v>Zayan</c:v>
                </c:pt>
              </c:strCache>
            </c:strRef>
          </c:cat>
          <c:val>
            <c:numRef>
              <c:f>Dashboard!$H$37:$H$87</c:f>
              <c:numCache>
                <c:formatCode>General</c:formatCode>
                <c:ptCount val="50"/>
                <c:pt idx="0">
                  <c:v>39</c:v>
                </c:pt>
                <c:pt idx="1">
                  <c:v>40</c:v>
                </c:pt>
                <c:pt idx="2">
                  <c:v>88</c:v>
                </c:pt>
                <c:pt idx="3">
                  <c:v>70</c:v>
                </c:pt>
                <c:pt idx="4">
                  <c:v>41</c:v>
                </c:pt>
                <c:pt idx="5">
                  <c:v>58</c:v>
                </c:pt>
                <c:pt idx="6">
                  <c:v>83</c:v>
                </c:pt>
                <c:pt idx="7">
                  <c:v>54</c:v>
                </c:pt>
                <c:pt idx="8">
                  <c:v>94</c:v>
                </c:pt>
                <c:pt idx="9">
                  <c:v>12</c:v>
                </c:pt>
                <c:pt idx="10">
                  <c:v>39</c:v>
                </c:pt>
                <c:pt idx="11">
                  <c:v>66</c:v>
                </c:pt>
                <c:pt idx="12">
                  <c:v>67</c:v>
                </c:pt>
                <c:pt idx="13">
                  <c:v>63</c:v>
                </c:pt>
                <c:pt idx="14">
                  <c:v>27</c:v>
                </c:pt>
                <c:pt idx="15">
                  <c:v>27</c:v>
                </c:pt>
                <c:pt idx="16">
                  <c:v>82</c:v>
                </c:pt>
                <c:pt idx="17">
                  <c:v>36</c:v>
                </c:pt>
                <c:pt idx="18">
                  <c:v>20</c:v>
                </c:pt>
                <c:pt idx="19">
                  <c:v>92</c:v>
                </c:pt>
                <c:pt idx="20">
                  <c:v>63</c:v>
                </c:pt>
                <c:pt idx="21">
                  <c:v>90</c:v>
                </c:pt>
                <c:pt idx="22">
                  <c:v>60</c:v>
                </c:pt>
                <c:pt idx="23">
                  <c:v>45</c:v>
                </c:pt>
                <c:pt idx="24">
                  <c:v>95</c:v>
                </c:pt>
                <c:pt idx="25">
                  <c:v>21</c:v>
                </c:pt>
                <c:pt idx="26">
                  <c:v>20</c:v>
                </c:pt>
                <c:pt idx="27">
                  <c:v>77</c:v>
                </c:pt>
                <c:pt idx="28">
                  <c:v>23</c:v>
                </c:pt>
                <c:pt idx="29">
                  <c:v>64</c:v>
                </c:pt>
                <c:pt idx="30">
                  <c:v>99</c:v>
                </c:pt>
                <c:pt idx="31">
                  <c:v>23</c:v>
                </c:pt>
                <c:pt idx="32">
                  <c:v>61</c:v>
                </c:pt>
                <c:pt idx="33">
                  <c:v>45</c:v>
                </c:pt>
                <c:pt idx="34">
                  <c:v>89</c:v>
                </c:pt>
                <c:pt idx="35">
                  <c:v>29</c:v>
                </c:pt>
                <c:pt idx="36">
                  <c:v>72</c:v>
                </c:pt>
                <c:pt idx="37">
                  <c:v>65</c:v>
                </c:pt>
                <c:pt idx="38">
                  <c:v>20</c:v>
                </c:pt>
                <c:pt idx="39">
                  <c:v>12</c:v>
                </c:pt>
                <c:pt idx="40">
                  <c:v>62</c:v>
                </c:pt>
                <c:pt idx="41">
                  <c:v>52</c:v>
                </c:pt>
                <c:pt idx="42">
                  <c:v>18</c:v>
                </c:pt>
                <c:pt idx="43">
                  <c:v>52</c:v>
                </c:pt>
                <c:pt idx="44">
                  <c:v>76</c:v>
                </c:pt>
                <c:pt idx="45">
                  <c:v>54</c:v>
                </c:pt>
                <c:pt idx="46">
                  <c:v>74</c:v>
                </c:pt>
                <c:pt idx="47">
                  <c:v>59</c:v>
                </c:pt>
                <c:pt idx="48">
                  <c:v>36</c:v>
                </c:pt>
                <c:pt idx="4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0-4C9A-AA1E-84E84A0E7C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386902040"/>
        <c:axId val="386904920"/>
      </c:barChart>
      <c:catAx>
        <c:axId val="38690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04920"/>
        <c:crosses val="autoZero"/>
        <c:auto val="1"/>
        <c:lblAlgn val="ctr"/>
        <c:lblOffset val="100"/>
        <c:noMultiLvlLbl val="0"/>
      </c:catAx>
      <c:valAx>
        <c:axId val="386904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690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352426</xdr:colOff>
      <xdr:row>5</xdr:row>
      <xdr:rowOff>38099</xdr:rowOff>
    </xdr:from>
    <xdr:to>
      <xdr:col>9</xdr:col>
      <xdr:colOff>38101</xdr:colOff>
      <xdr:row>17</xdr:row>
      <xdr:rowOff>33336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8BCE5-35F3-3EAE-536B-E7274BAD6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6</xdr:row>
      <xdr:rowOff>180975</xdr:rowOff>
    </xdr:from>
    <xdr:to>
      <xdr:col>16</xdr:col>
      <xdr:colOff>95250</xdr:colOff>
      <xdr:row>18</xdr:row>
      <xdr:rowOff>157161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417597-6424-72D1-B061-12A0A27E2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18</xdr:row>
      <xdr:rowOff>14287</xdr:rowOff>
    </xdr:from>
    <xdr:to>
      <xdr:col>7</xdr:col>
      <xdr:colOff>1304925</xdr:colOff>
      <xdr:row>32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6AA805-433A-4906-2844-2DF17FA4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30</xdr:row>
      <xdr:rowOff>23812</xdr:rowOff>
    </xdr:from>
    <xdr:to>
      <xdr:col>15</xdr:col>
      <xdr:colOff>47625</xdr:colOff>
      <xdr:row>44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1EB1F-B97A-92A0-6597-73830DA20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12</xdr:col>
      <xdr:colOff>75657</xdr:colOff>
      <xdr:row>11</xdr:row>
      <xdr:rowOff>75929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75EAB-5952-0CA3-C137-31744C4E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0"/>
          <a:ext cx="4342857" cy="2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11</xdr:row>
      <xdr:rowOff>152400</xdr:rowOff>
    </xdr:from>
    <xdr:to>
      <xdr:col>8</xdr:col>
      <xdr:colOff>390104</xdr:colOff>
      <xdr:row>21</xdr:row>
      <xdr:rowOff>104543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92EA6-0874-3202-486F-08808120A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2247900"/>
          <a:ext cx="3371429" cy="18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18</xdr:col>
      <xdr:colOff>230269</xdr:colOff>
      <xdr:row>21</xdr:row>
      <xdr:rowOff>161690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2A9D9-D638-CAC4-DAF7-A8D4040B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4969" y="2286000"/>
          <a:ext cx="5695238" cy="1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11</xdr:col>
      <xdr:colOff>440667</xdr:colOff>
      <xdr:row>37</xdr:row>
      <xdr:rowOff>94905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3B4FC5-0EFA-8B2D-8204-97BE2468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0" y="4381500"/>
          <a:ext cx="5266667" cy="27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555625</xdr:colOff>
      <xdr:row>22</xdr:row>
      <xdr:rowOff>174625</xdr:rowOff>
    </xdr:from>
    <xdr:to>
      <xdr:col>20</xdr:col>
      <xdr:colOff>50184</xdr:colOff>
      <xdr:row>37</xdr:row>
      <xdr:rowOff>88554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FB5F59-C504-3861-87A8-C69D98541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5" y="4365625"/>
          <a:ext cx="4923809" cy="27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930972453702" createdVersion="8" refreshedVersion="8" minRefreshableVersion="3" recordCount="50" xr:uid="{50BB17F9-E48A-4682-B069-E864FD19CE04}">
  <cacheSource type="worksheet">
    <worksheetSource ref="A1:I51" sheet="Raw Data"/>
  </cacheSource>
  <cacheFields count="9">
    <cacheField name="StudentID" numFmtId="49">
      <sharedItems count="50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s v="031"/>
        <s v="032"/>
        <s v="033"/>
        <s v="034"/>
        <s v="035"/>
        <s v="036"/>
        <s v="037"/>
        <s v="038"/>
        <s v="039"/>
        <s v="040"/>
        <s v="041"/>
        <s v="042"/>
        <s v="043"/>
        <s v="044"/>
        <s v="045"/>
        <s v="046"/>
        <s v="047"/>
        <s v="048"/>
        <s v="049"/>
        <s v="050"/>
      </sharedItems>
    </cacheField>
    <cacheField name="Name" numFmtId="0">
      <sharedItems count="50">
        <s v="Nimal"/>
        <s v="Kamal"/>
        <s v="Sunil"/>
        <s v="Amal"/>
        <s v="Kasun"/>
        <s v="Tharindu"/>
        <s v="Isuru"/>
        <s v="Dinuka"/>
        <s v="Chamara"/>
        <s v="Gayan"/>
        <s v="Lalith"/>
        <s v="Sandun"/>
        <s v="Kusal"/>
        <s v="Ruwan"/>
        <s v="Madushan"/>
        <s v="Shehan"/>
        <s v="Kavindu"/>
        <s v="Janith"/>
        <s v="Dinesh"/>
        <s v="Pradeep"/>
        <s v="Roshan"/>
        <s v="Ashan"/>
        <s v="Charith"/>
        <s v="Udara"/>
        <s v="Nipuna"/>
        <s v="Pasindu"/>
        <s v="Supun"/>
        <s v="Vishwa"/>
        <s v="Nuwan"/>
        <s v="Akila"/>
        <s v="Buddhika"/>
        <s v="Chathura"/>
        <s v="Eranda"/>
        <s v="Dilani"/>
        <s v="Hansaka"/>
        <s v="Indika"/>
        <s v="Kalana"/>
        <s v="Malith"/>
        <s v="Naveen"/>
        <s v="Oshada"/>
        <s v="Pramod"/>
        <s v="Ravindu"/>
        <s v="Sahan"/>
        <s v="Thilina"/>
        <s v="Umesh"/>
        <s v="Viraj"/>
        <s v="Yasiru"/>
        <s v="Zayan"/>
        <s v="Achini"/>
        <s v="Nipuni"/>
      </sharedItems>
    </cacheField>
    <cacheField name="Attendance" numFmtId="0">
      <sharedItems containsSemiMixedTypes="0" containsString="0" containsNumber="1" containsInteger="1" minValue="12" maxValue="99"/>
    </cacheField>
    <cacheField name="Assignment" numFmtId="0">
      <sharedItems containsSemiMixedTypes="0" containsString="0" containsNumber="1" containsInteger="1" minValue="12" maxValue="96"/>
    </cacheField>
    <cacheField name="MidExam" numFmtId="0">
      <sharedItems containsSemiMixedTypes="0" containsString="0" containsNumber="1" containsInteger="1" minValue="12" maxValue="95"/>
    </cacheField>
    <cacheField name="FinalExam" numFmtId="0">
      <sharedItems containsSemiMixedTypes="0" containsString="0" containsNumber="1" containsInteger="1" minValue="10" maxValue="94"/>
    </cacheField>
    <cacheField name="Total" numFmtId="0">
      <sharedItems containsSemiMixedTypes="0" containsString="0" containsNumber="1" containsInteger="1" minValue="70" maxValue="346"/>
    </cacheField>
    <cacheField name="Average" numFmtId="0">
      <sharedItems containsSemiMixedTypes="0" containsString="0" containsNumber="1" minValue="28" maxValue="138.4" count="45">
        <n v="55.2"/>
        <n v="28"/>
        <n v="96.4"/>
        <n v="101.2"/>
        <n v="116.8"/>
        <n v="73.599999999999994"/>
        <n v="41.2"/>
        <n v="82"/>
        <n v="92"/>
        <n v="120.8"/>
        <n v="102.4"/>
        <n v="34.799999999999997"/>
        <n v="114.4"/>
        <n v="138.4"/>
        <n v="95.6"/>
        <n v="42"/>
        <n v="92.4"/>
        <n v="92.8"/>
        <n v="28.8"/>
        <n v="90"/>
        <n v="103.6"/>
        <n v="126.8"/>
        <n v="109.2"/>
        <n v="84.8"/>
        <n v="44.4"/>
        <n v="94.8"/>
        <n v="93.6"/>
        <n v="106.4"/>
        <n v="52"/>
        <n v="96.8"/>
        <n v="112.4"/>
        <n v="133.6"/>
        <n v="98.4"/>
        <n v="42.8"/>
        <n v="91.2"/>
        <n v="124.8"/>
        <n v="105.6"/>
        <n v="134"/>
        <n v="89.2"/>
        <n v="104.8"/>
        <n v="97.2"/>
        <n v="108"/>
        <n v="56.8"/>
        <n v="116.4"/>
        <n v="36"/>
      </sharedItems>
    </cacheField>
    <cacheField name="Risk Level" numFmtId="0">
      <sharedItems count="3">
        <s v="Medium Risk"/>
        <s v="High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0"/>
    <n v="40"/>
    <n v="26"/>
    <n v="52"/>
    <n v="138"/>
    <x v="0"/>
    <x v="0"/>
  </r>
  <r>
    <x v="1"/>
    <x v="1"/>
    <n v="20"/>
    <n v="20"/>
    <n v="20"/>
    <n v="10"/>
    <n v="70"/>
    <x v="1"/>
    <x v="1"/>
  </r>
  <r>
    <x v="2"/>
    <x v="2"/>
    <n v="62"/>
    <n v="34"/>
    <n v="82"/>
    <n v="63"/>
    <n v="241"/>
    <x v="2"/>
    <x v="2"/>
  </r>
  <r>
    <x v="3"/>
    <x v="3"/>
    <n v="88"/>
    <n v="77"/>
    <n v="63"/>
    <n v="25"/>
    <n v="253"/>
    <x v="3"/>
    <x v="2"/>
  </r>
  <r>
    <x v="4"/>
    <x v="4"/>
    <n v="92"/>
    <n v="72"/>
    <n v="42"/>
    <n v="86"/>
    <n v="292"/>
    <x v="4"/>
    <x v="2"/>
  </r>
  <r>
    <x v="5"/>
    <x v="5"/>
    <n v="18"/>
    <n v="95"/>
    <n v="18"/>
    <n v="53"/>
    <n v="184"/>
    <x v="5"/>
    <x v="2"/>
  </r>
  <r>
    <x v="6"/>
    <x v="6"/>
    <n v="27"/>
    <n v="36"/>
    <n v="25"/>
    <n v="15"/>
    <n v="103"/>
    <x v="6"/>
    <x v="0"/>
  </r>
  <r>
    <x v="7"/>
    <x v="7"/>
    <n v="39"/>
    <n v="14"/>
    <n v="68"/>
    <n v="84"/>
    <n v="205"/>
    <x v="7"/>
    <x v="2"/>
  </r>
  <r>
    <x v="8"/>
    <x v="8"/>
    <n v="58"/>
    <n v="25"/>
    <n v="72"/>
    <n v="75"/>
    <n v="230"/>
    <x v="8"/>
    <x v="2"/>
  </r>
  <r>
    <x v="9"/>
    <x v="9"/>
    <n v="67"/>
    <n v="69"/>
    <n v="94"/>
    <n v="72"/>
    <n v="302"/>
    <x v="9"/>
    <x v="2"/>
  </r>
  <r>
    <x v="10"/>
    <x v="10"/>
    <n v="60"/>
    <n v="85"/>
    <n v="63"/>
    <n v="48"/>
    <n v="256"/>
    <x v="10"/>
    <x v="2"/>
  </r>
  <r>
    <x v="11"/>
    <x v="11"/>
    <n v="20"/>
    <n v="25"/>
    <n v="30"/>
    <n v="12"/>
    <n v="87"/>
    <x v="11"/>
    <x v="1"/>
  </r>
  <r>
    <x v="12"/>
    <x v="12"/>
    <n v="90"/>
    <n v="88"/>
    <n v="26"/>
    <n v="82"/>
    <n v="286"/>
    <x v="12"/>
    <x v="2"/>
  </r>
  <r>
    <x v="13"/>
    <x v="13"/>
    <n v="72"/>
    <n v="95"/>
    <n v="95"/>
    <n v="84"/>
    <n v="346"/>
    <x v="13"/>
    <x v="2"/>
  </r>
  <r>
    <x v="14"/>
    <x v="14"/>
    <n v="45"/>
    <n v="64"/>
    <n v="84"/>
    <n v="46"/>
    <n v="239"/>
    <x v="14"/>
    <x v="2"/>
  </r>
  <r>
    <x v="15"/>
    <x v="15"/>
    <n v="12"/>
    <n v="30"/>
    <n v="38"/>
    <n v="25"/>
    <n v="105"/>
    <x v="15"/>
    <x v="0"/>
  </r>
  <r>
    <x v="16"/>
    <x v="16"/>
    <n v="63"/>
    <n v="52"/>
    <n v="49"/>
    <n v="67"/>
    <n v="231"/>
    <x v="16"/>
    <x v="2"/>
  </r>
  <r>
    <x v="17"/>
    <x v="17"/>
    <n v="82"/>
    <n v="56"/>
    <n v="36"/>
    <n v="58"/>
    <n v="232"/>
    <x v="17"/>
    <x v="2"/>
  </r>
  <r>
    <x v="18"/>
    <x v="18"/>
    <n v="12"/>
    <n v="20"/>
    <n v="12"/>
    <n v="28"/>
    <n v="72"/>
    <x v="18"/>
    <x v="1"/>
  </r>
  <r>
    <x v="19"/>
    <x v="19"/>
    <n v="61"/>
    <n v="38"/>
    <n v="81"/>
    <n v="45"/>
    <n v="225"/>
    <x v="19"/>
    <x v="2"/>
  </r>
  <r>
    <x v="20"/>
    <x v="20"/>
    <n v="29"/>
    <n v="94"/>
    <n v="45"/>
    <n v="64"/>
    <n v="232"/>
    <x v="17"/>
    <x v="2"/>
  </r>
  <r>
    <x v="21"/>
    <x v="21"/>
    <n v="70"/>
    <n v="64"/>
    <n v="63"/>
    <n v="62"/>
    <n v="259"/>
    <x v="20"/>
    <x v="2"/>
  </r>
  <r>
    <x v="22"/>
    <x v="22"/>
    <n v="83"/>
    <n v="95"/>
    <n v="72"/>
    <n v="67"/>
    <n v="317"/>
    <x v="21"/>
    <x v="2"/>
  </r>
  <r>
    <x v="23"/>
    <x v="23"/>
    <n v="76"/>
    <n v="36"/>
    <n v="92"/>
    <n v="69"/>
    <n v="273"/>
    <x v="22"/>
    <x v="2"/>
  </r>
  <r>
    <x v="24"/>
    <x v="24"/>
    <n v="77"/>
    <n v="27"/>
    <n v="45"/>
    <n v="63"/>
    <n v="212"/>
    <x v="23"/>
    <x v="2"/>
  </r>
  <r>
    <x v="25"/>
    <x v="25"/>
    <n v="23"/>
    <n v="12"/>
    <n v="23"/>
    <n v="53"/>
    <n v="111"/>
    <x v="24"/>
    <x v="0"/>
  </r>
  <r>
    <x v="26"/>
    <x v="26"/>
    <n v="52"/>
    <n v="69"/>
    <n v="62"/>
    <n v="54"/>
    <n v="237"/>
    <x v="25"/>
    <x v="2"/>
  </r>
  <r>
    <x v="27"/>
    <x v="27"/>
    <n v="59"/>
    <n v="82"/>
    <n v="36"/>
    <n v="57"/>
    <n v="234"/>
    <x v="26"/>
    <x v="2"/>
  </r>
  <r>
    <x v="28"/>
    <x v="28"/>
    <n v="64"/>
    <n v="95"/>
    <n v="48"/>
    <n v="59"/>
    <n v="266"/>
    <x v="27"/>
    <x v="2"/>
  </r>
  <r>
    <x v="29"/>
    <x v="29"/>
    <n v="40"/>
    <n v="20"/>
    <n v="19"/>
    <n v="51"/>
    <n v="130"/>
    <x v="28"/>
    <x v="0"/>
  </r>
  <r>
    <x v="30"/>
    <x v="30"/>
    <n v="41"/>
    <n v="81"/>
    <n v="92"/>
    <n v="52"/>
    <n v="266"/>
    <x v="27"/>
    <x v="2"/>
  </r>
  <r>
    <x v="31"/>
    <x v="31"/>
    <n v="54"/>
    <n v="67"/>
    <n v="45"/>
    <n v="76"/>
    <n v="242"/>
    <x v="29"/>
    <x v="2"/>
  </r>
  <r>
    <x v="32"/>
    <x v="32"/>
    <n v="66"/>
    <n v="89"/>
    <n v="52"/>
    <n v="74"/>
    <n v="281"/>
    <x v="30"/>
    <x v="2"/>
  </r>
  <r>
    <x v="33"/>
    <x v="33"/>
    <n v="94"/>
    <n v="91"/>
    <n v="58"/>
    <n v="91"/>
    <n v="334"/>
    <x v="31"/>
    <x v="2"/>
  </r>
  <r>
    <x v="34"/>
    <x v="34"/>
    <n v="63"/>
    <n v="36"/>
    <n v="72"/>
    <n v="75"/>
    <n v="246"/>
    <x v="32"/>
    <x v="2"/>
  </r>
  <r>
    <x v="35"/>
    <x v="35"/>
    <n v="27"/>
    <n v="20"/>
    <n v="35"/>
    <n v="25"/>
    <n v="107"/>
    <x v="33"/>
    <x v="0"/>
  </r>
  <r>
    <x v="36"/>
    <x v="36"/>
    <n v="36"/>
    <n v="82"/>
    <n v="61"/>
    <n v="49"/>
    <n v="228"/>
    <x v="34"/>
    <x v="2"/>
  </r>
  <r>
    <x v="37"/>
    <x v="37"/>
    <n v="95"/>
    <n v="69"/>
    <n v="63"/>
    <n v="85"/>
    <n v="312"/>
    <x v="35"/>
    <x v="2"/>
  </r>
  <r>
    <x v="38"/>
    <x v="38"/>
    <n v="21"/>
    <n v="25"/>
    <n v="16"/>
    <n v="25"/>
    <n v="87"/>
    <x v="11"/>
    <x v="1"/>
  </r>
  <r>
    <x v="39"/>
    <x v="39"/>
    <n v="99"/>
    <n v="49"/>
    <n v="67"/>
    <n v="51"/>
    <n v="266"/>
    <x v="27"/>
    <x v="2"/>
  </r>
  <r>
    <x v="40"/>
    <x v="40"/>
    <n v="45"/>
    <n v="82"/>
    <n v="82"/>
    <n v="55"/>
    <n v="264"/>
    <x v="36"/>
    <x v="2"/>
  </r>
  <r>
    <x v="41"/>
    <x v="41"/>
    <n v="89"/>
    <n v="69"/>
    <n v="91"/>
    <n v="86"/>
    <n v="335"/>
    <x v="37"/>
    <x v="2"/>
  </r>
  <r>
    <x v="42"/>
    <x v="42"/>
    <n v="65"/>
    <n v="32"/>
    <n v="32"/>
    <n v="94"/>
    <n v="223"/>
    <x v="38"/>
    <x v="2"/>
  </r>
  <r>
    <x v="43"/>
    <x v="43"/>
    <n v="52"/>
    <n v="79"/>
    <n v="54"/>
    <n v="77"/>
    <n v="262"/>
    <x v="39"/>
    <x v="2"/>
  </r>
  <r>
    <x v="44"/>
    <x v="44"/>
    <n v="54"/>
    <n v="45"/>
    <n v="72"/>
    <n v="72"/>
    <n v="243"/>
    <x v="40"/>
    <x v="2"/>
  </r>
  <r>
    <x v="45"/>
    <x v="45"/>
    <n v="74"/>
    <n v="65"/>
    <n v="49"/>
    <n v="82"/>
    <n v="270"/>
    <x v="41"/>
    <x v="2"/>
  </r>
  <r>
    <x v="46"/>
    <x v="46"/>
    <n v="36"/>
    <n v="29"/>
    <n v="41"/>
    <n v="36"/>
    <n v="142"/>
    <x v="42"/>
    <x v="0"/>
  </r>
  <r>
    <x v="47"/>
    <x v="47"/>
    <n v="82"/>
    <n v="96"/>
    <n v="51"/>
    <n v="62"/>
    <n v="291"/>
    <x v="43"/>
    <x v="2"/>
  </r>
  <r>
    <x v="48"/>
    <x v="48"/>
    <n v="39"/>
    <n v="67"/>
    <n v="64"/>
    <n v="73"/>
    <n v="243"/>
    <x v="40"/>
    <x v="2"/>
  </r>
  <r>
    <x v="49"/>
    <x v="49"/>
    <n v="23"/>
    <n v="14"/>
    <n v="32"/>
    <n v="21"/>
    <n v="90"/>
    <x v="4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82DD0-35D1-409D-BDA3-6A48BE95037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36:H87" firstHeaderRow="1" firstDataRow="1" firstDataCol="1"/>
  <pivotFields count="9">
    <pivotField showAll="0"/>
    <pivotField axis="axisRow" showAll="0">
      <items count="51">
        <item x="48"/>
        <item x="29"/>
        <item x="3"/>
        <item x="21"/>
        <item x="30"/>
        <item x="8"/>
        <item x="22"/>
        <item x="31"/>
        <item x="33"/>
        <item x="18"/>
        <item x="7"/>
        <item x="32"/>
        <item x="9"/>
        <item x="34"/>
        <item x="35"/>
        <item x="6"/>
        <item x="17"/>
        <item x="36"/>
        <item x="1"/>
        <item x="4"/>
        <item x="16"/>
        <item x="12"/>
        <item x="10"/>
        <item x="14"/>
        <item x="37"/>
        <item x="38"/>
        <item x="0"/>
        <item x="24"/>
        <item x="49"/>
        <item x="28"/>
        <item x="39"/>
        <item x="25"/>
        <item x="19"/>
        <item x="40"/>
        <item x="41"/>
        <item x="20"/>
        <item x="13"/>
        <item x="42"/>
        <item x="11"/>
        <item x="15"/>
        <item x="2"/>
        <item x="26"/>
        <item x="5"/>
        <item x="43"/>
        <item x="23"/>
        <item x="44"/>
        <item x="45"/>
        <item x="27"/>
        <item x="46"/>
        <item x="47"/>
        <item t="default"/>
      </items>
    </pivotField>
    <pivotField dataField="1" showAll="0"/>
    <pivotField showAll="0"/>
    <pivotField showAll="0"/>
    <pivotField showAll="0"/>
    <pivotField showAll="0"/>
    <pivotField showAll="0">
      <items count="46">
        <item x="1"/>
        <item x="18"/>
        <item x="11"/>
        <item x="44"/>
        <item x="6"/>
        <item x="15"/>
        <item x="33"/>
        <item x="24"/>
        <item x="28"/>
        <item x="0"/>
        <item x="42"/>
        <item x="5"/>
        <item x="7"/>
        <item x="23"/>
        <item x="38"/>
        <item x="19"/>
        <item x="34"/>
        <item x="8"/>
        <item x="16"/>
        <item x="17"/>
        <item x="26"/>
        <item x="25"/>
        <item x="14"/>
        <item x="2"/>
        <item x="29"/>
        <item x="40"/>
        <item x="32"/>
        <item x="3"/>
        <item x="10"/>
        <item x="20"/>
        <item x="39"/>
        <item x="36"/>
        <item x="27"/>
        <item x="41"/>
        <item x="22"/>
        <item x="30"/>
        <item x="12"/>
        <item x="43"/>
        <item x="4"/>
        <item x="9"/>
        <item x="35"/>
        <item x="21"/>
        <item x="31"/>
        <item x="37"/>
        <item x="13"/>
        <item t="default"/>
      </items>
    </pivotField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Attendance" fld="2" subtotal="average" baseField="1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6EDD5-2315-4EFD-B2B8-71AB1756314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5:B66" firstHeaderRow="1" firstDataRow="1" firstDataCol="1"/>
  <pivotFields count="9">
    <pivotField showAll="0"/>
    <pivotField axis="axisRow" showAll="0">
      <items count="51">
        <item x="48"/>
        <item x="29"/>
        <item x="3"/>
        <item x="21"/>
        <item x="30"/>
        <item x="8"/>
        <item x="22"/>
        <item x="31"/>
        <item x="33"/>
        <item x="18"/>
        <item x="7"/>
        <item x="32"/>
        <item x="9"/>
        <item x="34"/>
        <item x="35"/>
        <item x="6"/>
        <item x="17"/>
        <item x="36"/>
        <item x="1"/>
        <item x="4"/>
        <item x="16"/>
        <item x="12"/>
        <item x="10"/>
        <item x="14"/>
        <item x="37"/>
        <item x="38"/>
        <item x="0"/>
        <item x="24"/>
        <item x="49"/>
        <item x="28"/>
        <item x="39"/>
        <item x="25"/>
        <item x="19"/>
        <item x="40"/>
        <item x="41"/>
        <item x="20"/>
        <item x="13"/>
        <item x="42"/>
        <item x="11"/>
        <item x="15"/>
        <item x="2"/>
        <item x="26"/>
        <item x="5"/>
        <item x="43"/>
        <item x="23"/>
        <item x="44"/>
        <item x="45"/>
        <item x="27"/>
        <item x="4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 sortType="descending">
      <items count="46">
        <item x="13"/>
        <item x="37"/>
        <item x="31"/>
        <item x="21"/>
        <item x="35"/>
        <item x="9"/>
        <item x="4"/>
        <item x="43"/>
        <item x="12"/>
        <item x="30"/>
        <item x="22"/>
        <item x="41"/>
        <item x="27"/>
        <item x="36"/>
        <item x="39"/>
        <item x="20"/>
        <item x="10"/>
        <item x="3"/>
        <item x="32"/>
        <item x="40"/>
        <item x="29"/>
        <item x="2"/>
        <item x="14"/>
        <item x="25"/>
        <item x="26"/>
        <item x="17"/>
        <item x="16"/>
        <item x="8"/>
        <item x="34"/>
        <item x="19"/>
        <item x="38"/>
        <item x="23"/>
        <item x="7"/>
        <item x="5"/>
        <item x="42"/>
        <item x="0"/>
        <item x="28"/>
        <item x="24"/>
        <item x="33"/>
        <item x="15"/>
        <item x="6"/>
        <item x="44"/>
        <item x="11"/>
        <item x="18"/>
        <item x="1"/>
        <item t="default"/>
      </items>
    </pivotField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Averag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C0DC8-F398-488C-A81B-A64B07EBCCB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9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48"/>
        <item x="29"/>
        <item x="3"/>
        <item x="21"/>
        <item x="30"/>
        <item x="8"/>
        <item x="22"/>
        <item x="31"/>
        <item x="33"/>
        <item x="18"/>
        <item x="7"/>
        <item x="32"/>
        <item x="9"/>
        <item x="34"/>
        <item x="35"/>
        <item x="6"/>
        <item x="17"/>
        <item x="36"/>
        <item x="1"/>
        <item x="4"/>
        <item x="16"/>
        <item x="12"/>
        <item x="10"/>
        <item x="14"/>
        <item x="37"/>
        <item x="38"/>
        <item x="0"/>
        <item x="24"/>
        <item x="49"/>
        <item x="28"/>
        <item x="39"/>
        <item x="25"/>
        <item x="19"/>
        <item x="40"/>
        <item x="41"/>
        <item x="20"/>
        <item x="13"/>
        <item x="42"/>
        <item x="11"/>
        <item x="15"/>
        <item x="2"/>
        <item x="26"/>
        <item x="5"/>
        <item x="43"/>
        <item x="23"/>
        <item x="44"/>
        <item x="45"/>
        <item x="27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sk Level" fld="8" subtotal="count" baseField="0" baseItem="0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22" workbookViewId="0">
      <selection activeCell="L18" sqref="L18"/>
    </sheetView>
  </sheetViews>
  <sheetFormatPr defaultRowHeight="15" x14ac:dyDescent="0.25"/>
  <cols>
    <col min="1" max="1" width="10.85546875" style="1" customWidth="1"/>
    <col min="2" max="2" width="9.140625" style="1"/>
    <col min="3" max="3" width="12.28515625" customWidth="1"/>
    <col min="4" max="4" width="13.85546875" customWidth="1"/>
    <col min="6" max="6" width="13.28515625" customWidth="1"/>
    <col min="9" max="9" width="15.5703125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106</v>
      </c>
      <c r="H1" t="s">
        <v>107</v>
      </c>
      <c r="I1" t="s">
        <v>108</v>
      </c>
    </row>
    <row r="2" spans="1:9" x14ac:dyDescent="0.25">
      <c r="A2" s="1" t="s">
        <v>6</v>
      </c>
      <c r="B2" t="s">
        <v>56</v>
      </c>
      <c r="C2">
        <v>20</v>
      </c>
      <c r="D2">
        <v>40</v>
      </c>
      <c r="E2">
        <v>26</v>
      </c>
      <c r="F2">
        <v>52</v>
      </c>
      <c r="G2">
        <f>SUM(C2:F2)</f>
        <v>138</v>
      </c>
      <c r="H2">
        <f>AVERAGE(C2:G2)</f>
        <v>55.2</v>
      </c>
      <c r="I2" t="str">
        <f>IF(H2&lt;40,"High Risk",IF(H2&lt;60,"Medium Risk","Low Risk"))</f>
        <v>Medium Risk</v>
      </c>
    </row>
    <row r="3" spans="1:9" x14ac:dyDescent="0.25">
      <c r="A3" s="1" t="s">
        <v>7</v>
      </c>
      <c r="B3" t="s">
        <v>57</v>
      </c>
      <c r="C3">
        <v>20</v>
      </c>
      <c r="D3">
        <v>20</v>
      </c>
      <c r="E3">
        <v>20</v>
      </c>
      <c r="F3">
        <v>10</v>
      </c>
      <c r="G3">
        <f t="shared" ref="G3:G51" si="0">SUM(C3:F3)</f>
        <v>70</v>
      </c>
      <c r="H3">
        <f t="shared" ref="H3:H51" si="1">AVERAGE(C3:G3)</f>
        <v>28</v>
      </c>
      <c r="I3" t="str">
        <f t="shared" ref="I3:I51" si="2">IF(H3&lt;40,"High Risk",IF(H3&lt;60,"Medium Risk","Low Risk"))</f>
        <v>High Risk</v>
      </c>
    </row>
    <row r="4" spans="1:9" x14ac:dyDescent="0.25">
      <c r="A4" s="1" t="s">
        <v>8</v>
      </c>
      <c r="B4" t="s">
        <v>58</v>
      </c>
      <c r="C4">
        <v>62</v>
      </c>
      <c r="D4">
        <v>34</v>
      </c>
      <c r="E4">
        <v>82</v>
      </c>
      <c r="F4">
        <v>63</v>
      </c>
      <c r="G4">
        <f t="shared" si="0"/>
        <v>241</v>
      </c>
      <c r="H4">
        <f t="shared" si="1"/>
        <v>96.4</v>
      </c>
      <c r="I4" t="str">
        <f t="shared" si="2"/>
        <v>Low Risk</v>
      </c>
    </row>
    <row r="5" spans="1:9" x14ac:dyDescent="0.25">
      <c r="A5" s="1" t="s">
        <v>9</v>
      </c>
      <c r="B5" t="s">
        <v>59</v>
      </c>
      <c r="C5">
        <v>88</v>
      </c>
      <c r="D5">
        <v>77</v>
      </c>
      <c r="E5">
        <v>63</v>
      </c>
      <c r="F5">
        <v>25</v>
      </c>
      <c r="G5">
        <f t="shared" si="0"/>
        <v>253</v>
      </c>
      <c r="H5">
        <f t="shared" si="1"/>
        <v>101.2</v>
      </c>
      <c r="I5" t="str">
        <f t="shared" si="2"/>
        <v>Low Risk</v>
      </c>
    </row>
    <row r="6" spans="1:9" x14ac:dyDescent="0.25">
      <c r="A6" s="1" t="s">
        <v>10</v>
      </c>
      <c r="B6" t="s">
        <v>60</v>
      </c>
      <c r="C6">
        <v>92</v>
      </c>
      <c r="D6">
        <v>72</v>
      </c>
      <c r="E6">
        <v>42</v>
      </c>
      <c r="F6">
        <v>86</v>
      </c>
      <c r="G6">
        <f t="shared" si="0"/>
        <v>292</v>
      </c>
      <c r="H6">
        <f t="shared" si="1"/>
        <v>116.8</v>
      </c>
      <c r="I6" t="str">
        <f t="shared" si="2"/>
        <v>Low Risk</v>
      </c>
    </row>
    <row r="7" spans="1:9" x14ac:dyDescent="0.25">
      <c r="A7" s="1" t="s">
        <v>11</v>
      </c>
      <c r="B7" t="s">
        <v>61</v>
      </c>
      <c r="C7">
        <v>18</v>
      </c>
      <c r="D7">
        <v>95</v>
      </c>
      <c r="E7">
        <v>18</v>
      </c>
      <c r="F7">
        <v>53</v>
      </c>
      <c r="G7">
        <f t="shared" si="0"/>
        <v>184</v>
      </c>
      <c r="H7">
        <f t="shared" si="1"/>
        <v>73.599999999999994</v>
      </c>
      <c r="I7" t="str">
        <f t="shared" si="2"/>
        <v>Low Risk</v>
      </c>
    </row>
    <row r="8" spans="1:9" x14ac:dyDescent="0.25">
      <c r="A8" s="1" t="s">
        <v>12</v>
      </c>
      <c r="B8" t="s">
        <v>62</v>
      </c>
      <c r="C8">
        <v>27</v>
      </c>
      <c r="D8">
        <v>36</v>
      </c>
      <c r="E8">
        <v>25</v>
      </c>
      <c r="F8">
        <v>15</v>
      </c>
      <c r="G8">
        <f t="shared" si="0"/>
        <v>103</v>
      </c>
      <c r="H8">
        <f t="shared" si="1"/>
        <v>41.2</v>
      </c>
      <c r="I8" t="str">
        <f t="shared" si="2"/>
        <v>Medium Risk</v>
      </c>
    </row>
    <row r="9" spans="1:9" x14ac:dyDescent="0.25">
      <c r="A9" s="1" t="s">
        <v>13</v>
      </c>
      <c r="B9" t="s">
        <v>63</v>
      </c>
      <c r="C9">
        <v>39</v>
      </c>
      <c r="D9">
        <v>14</v>
      </c>
      <c r="E9">
        <v>68</v>
      </c>
      <c r="F9">
        <v>84</v>
      </c>
      <c r="G9">
        <f t="shared" si="0"/>
        <v>205</v>
      </c>
      <c r="H9">
        <f t="shared" si="1"/>
        <v>82</v>
      </c>
      <c r="I9" t="str">
        <f t="shared" si="2"/>
        <v>Low Risk</v>
      </c>
    </row>
    <row r="10" spans="1:9" x14ac:dyDescent="0.25">
      <c r="A10" s="1" t="s">
        <v>14</v>
      </c>
      <c r="B10" t="s">
        <v>64</v>
      </c>
      <c r="C10">
        <v>58</v>
      </c>
      <c r="D10">
        <v>25</v>
      </c>
      <c r="E10">
        <v>72</v>
      </c>
      <c r="F10">
        <v>75</v>
      </c>
      <c r="G10">
        <f t="shared" si="0"/>
        <v>230</v>
      </c>
      <c r="H10">
        <f t="shared" si="1"/>
        <v>92</v>
      </c>
      <c r="I10" t="str">
        <f t="shared" si="2"/>
        <v>Low Risk</v>
      </c>
    </row>
    <row r="11" spans="1:9" x14ac:dyDescent="0.25">
      <c r="A11" s="1" t="s">
        <v>15</v>
      </c>
      <c r="B11" t="s">
        <v>65</v>
      </c>
      <c r="C11">
        <v>67</v>
      </c>
      <c r="D11">
        <v>69</v>
      </c>
      <c r="E11">
        <v>94</v>
      </c>
      <c r="F11">
        <v>72</v>
      </c>
      <c r="G11">
        <f t="shared" si="0"/>
        <v>302</v>
      </c>
      <c r="H11">
        <f t="shared" si="1"/>
        <v>120.8</v>
      </c>
      <c r="I11" t="str">
        <f t="shared" si="2"/>
        <v>Low Risk</v>
      </c>
    </row>
    <row r="12" spans="1:9" x14ac:dyDescent="0.25">
      <c r="A12" s="1" t="s">
        <v>16</v>
      </c>
      <c r="B12" s="1" t="s">
        <v>66</v>
      </c>
      <c r="C12">
        <v>60</v>
      </c>
      <c r="D12">
        <v>85</v>
      </c>
      <c r="E12">
        <v>63</v>
      </c>
      <c r="F12">
        <v>48</v>
      </c>
      <c r="G12">
        <f t="shared" si="0"/>
        <v>256</v>
      </c>
      <c r="H12">
        <f t="shared" si="1"/>
        <v>102.4</v>
      </c>
      <c r="I12" t="str">
        <f t="shared" si="2"/>
        <v>Low Risk</v>
      </c>
    </row>
    <row r="13" spans="1:9" x14ac:dyDescent="0.25">
      <c r="A13" s="1" t="s">
        <v>17</v>
      </c>
      <c r="B13" t="s">
        <v>67</v>
      </c>
      <c r="C13">
        <v>20</v>
      </c>
      <c r="D13">
        <v>25</v>
      </c>
      <c r="E13">
        <v>30</v>
      </c>
      <c r="F13">
        <v>12</v>
      </c>
      <c r="G13">
        <f t="shared" si="0"/>
        <v>87</v>
      </c>
      <c r="H13">
        <f t="shared" si="1"/>
        <v>34.799999999999997</v>
      </c>
      <c r="I13" t="str">
        <f t="shared" si="2"/>
        <v>High Risk</v>
      </c>
    </row>
    <row r="14" spans="1:9" x14ac:dyDescent="0.25">
      <c r="A14" s="1" t="s">
        <v>18</v>
      </c>
      <c r="B14" t="s">
        <v>68</v>
      </c>
      <c r="C14">
        <v>90</v>
      </c>
      <c r="D14">
        <v>88</v>
      </c>
      <c r="E14">
        <v>26</v>
      </c>
      <c r="F14">
        <v>82</v>
      </c>
      <c r="G14">
        <f t="shared" si="0"/>
        <v>286</v>
      </c>
      <c r="H14">
        <f t="shared" si="1"/>
        <v>114.4</v>
      </c>
      <c r="I14" t="str">
        <f t="shared" si="2"/>
        <v>Low Risk</v>
      </c>
    </row>
    <row r="15" spans="1:9" x14ac:dyDescent="0.25">
      <c r="A15" s="1" t="s">
        <v>19</v>
      </c>
      <c r="B15" t="s">
        <v>69</v>
      </c>
      <c r="C15">
        <v>72</v>
      </c>
      <c r="D15">
        <v>95</v>
      </c>
      <c r="E15">
        <v>95</v>
      </c>
      <c r="F15">
        <v>84</v>
      </c>
      <c r="G15">
        <f t="shared" si="0"/>
        <v>346</v>
      </c>
      <c r="H15">
        <f t="shared" si="1"/>
        <v>138.4</v>
      </c>
      <c r="I15" t="str">
        <f t="shared" si="2"/>
        <v>Low Risk</v>
      </c>
    </row>
    <row r="16" spans="1:9" x14ac:dyDescent="0.25">
      <c r="A16" s="1" t="s">
        <v>20</v>
      </c>
      <c r="B16" s="1" t="s">
        <v>70</v>
      </c>
      <c r="C16">
        <v>45</v>
      </c>
      <c r="D16">
        <v>64</v>
      </c>
      <c r="E16">
        <v>84</v>
      </c>
      <c r="F16">
        <v>46</v>
      </c>
      <c r="G16">
        <f t="shared" si="0"/>
        <v>239</v>
      </c>
      <c r="H16">
        <f t="shared" si="1"/>
        <v>95.6</v>
      </c>
      <c r="I16" t="str">
        <f t="shared" si="2"/>
        <v>Low Risk</v>
      </c>
    </row>
    <row r="17" spans="1:9" x14ac:dyDescent="0.25">
      <c r="A17" s="1" t="s">
        <v>21</v>
      </c>
      <c r="B17" t="s">
        <v>71</v>
      </c>
      <c r="C17">
        <v>12</v>
      </c>
      <c r="D17">
        <v>30</v>
      </c>
      <c r="E17">
        <v>38</v>
      </c>
      <c r="F17">
        <v>25</v>
      </c>
      <c r="G17">
        <f t="shared" si="0"/>
        <v>105</v>
      </c>
      <c r="H17">
        <f t="shared" si="1"/>
        <v>42</v>
      </c>
      <c r="I17" t="str">
        <f t="shared" si="2"/>
        <v>Medium Risk</v>
      </c>
    </row>
    <row r="18" spans="1:9" x14ac:dyDescent="0.25">
      <c r="A18" s="1" t="s">
        <v>22</v>
      </c>
      <c r="B18" t="s">
        <v>72</v>
      </c>
      <c r="C18">
        <v>63</v>
      </c>
      <c r="D18">
        <v>52</v>
      </c>
      <c r="E18">
        <v>49</v>
      </c>
      <c r="F18">
        <v>67</v>
      </c>
      <c r="G18">
        <f t="shared" si="0"/>
        <v>231</v>
      </c>
      <c r="H18">
        <f t="shared" si="1"/>
        <v>92.4</v>
      </c>
      <c r="I18" t="str">
        <f t="shared" si="2"/>
        <v>Low Risk</v>
      </c>
    </row>
    <row r="19" spans="1:9" x14ac:dyDescent="0.25">
      <c r="A19" s="1" t="s">
        <v>23</v>
      </c>
      <c r="B19" t="s">
        <v>73</v>
      </c>
      <c r="C19">
        <v>82</v>
      </c>
      <c r="D19">
        <v>56</v>
      </c>
      <c r="E19">
        <v>36</v>
      </c>
      <c r="F19">
        <v>58</v>
      </c>
      <c r="G19">
        <f t="shared" si="0"/>
        <v>232</v>
      </c>
      <c r="H19">
        <f t="shared" si="1"/>
        <v>92.8</v>
      </c>
      <c r="I19" t="str">
        <f t="shared" si="2"/>
        <v>Low Risk</v>
      </c>
    </row>
    <row r="20" spans="1:9" x14ac:dyDescent="0.25">
      <c r="A20" s="1" t="s">
        <v>24</v>
      </c>
      <c r="B20" t="s">
        <v>74</v>
      </c>
      <c r="C20">
        <v>12</v>
      </c>
      <c r="D20">
        <v>20</v>
      </c>
      <c r="E20">
        <v>12</v>
      </c>
      <c r="F20">
        <v>28</v>
      </c>
      <c r="G20">
        <f t="shared" si="0"/>
        <v>72</v>
      </c>
      <c r="H20">
        <f t="shared" si="1"/>
        <v>28.8</v>
      </c>
      <c r="I20" t="str">
        <f t="shared" si="2"/>
        <v>High Risk</v>
      </c>
    </row>
    <row r="21" spans="1:9" x14ac:dyDescent="0.25">
      <c r="A21" s="1" t="s">
        <v>25</v>
      </c>
      <c r="B21" t="s">
        <v>75</v>
      </c>
      <c r="C21">
        <v>61</v>
      </c>
      <c r="D21">
        <v>38</v>
      </c>
      <c r="E21">
        <v>81</v>
      </c>
      <c r="F21">
        <v>45</v>
      </c>
      <c r="G21">
        <f t="shared" si="0"/>
        <v>225</v>
      </c>
      <c r="H21">
        <f t="shared" si="1"/>
        <v>90</v>
      </c>
      <c r="I21" t="str">
        <f t="shared" si="2"/>
        <v>Low Risk</v>
      </c>
    </row>
    <row r="22" spans="1:9" x14ac:dyDescent="0.25">
      <c r="A22" s="1" t="s">
        <v>26</v>
      </c>
      <c r="B22" s="1" t="s">
        <v>76</v>
      </c>
      <c r="C22">
        <v>29</v>
      </c>
      <c r="D22">
        <v>94</v>
      </c>
      <c r="E22">
        <v>45</v>
      </c>
      <c r="F22">
        <v>64</v>
      </c>
      <c r="G22">
        <f t="shared" si="0"/>
        <v>232</v>
      </c>
      <c r="H22">
        <f t="shared" si="1"/>
        <v>92.8</v>
      </c>
      <c r="I22" t="str">
        <f t="shared" si="2"/>
        <v>Low Risk</v>
      </c>
    </row>
    <row r="23" spans="1:9" x14ac:dyDescent="0.25">
      <c r="A23" s="1" t="s">
        <v>27</v>
      </c>
      <c r="B23" t="s">
        <v>77</v>
      </c>
      <c r="C23">
        <v>70</v>
      </c>
      <c r="D23">
        <v>64</v>
      </c>
      <c r="E23">
        <v>63</v>
      </c>
      <c r="F23">
        <v>62</v>
      </c>
      <c r="G23">
        <f t="shared" si="0"/>
        <v>259</v>
      </c>
      <c r="H23">
        <f t="shared" si="1"/>
        <v>103.6</v>
      </c>
      <c r="I23" t="str">
        <f t="shared" si="2"/>
        <v>Low Risk</v>
      </c>
    </row>
    <row r="24" spans="1:9" x14ac:dyDescent="0.25">
      <c r="A24" s="1" t="s">
        <v>28</v>
      </c>
      <c r="B24" t="s">
        <v>78</v>
      </c>
      <c r="C24">
        <v>83</v>
      </c>
      <c r="D24">
        <v>95</v>
      </c>
      <c r="E24">
        <v>72</v>
      </c>
      <c r="F24">
        <v>67</v>
      </c>
      <c r="G24">
        <f t="shared" si="0"/>
        <v>317</v>
      </c>
      <c r="H24">
        <f t="shared" si="1"/>
        <v>126.8</v>
      </c>
      <c r="I24" t="str">
        <f t="shared" si="2"/>
        <v>Low Risk</v>
      </c>
    </row>
    <row r="25" spans="1:9" x14ac:dyDescent="0.25">
      <c r="A25" s="1" t="s">
        <v>29</v>
      </c>
      <c r="B25" t="s">
        <v>79</v>
      </c>
      <c r="C25">
        <v>76</v>
      </c>
      <c r="D25">
        <v>36</v>
      </c>
      <c r="E25">
        <v>92</v>
      </c>
      <c r="F25">
        <v>69</v>
      </c>
      <c r="G25">
        <f t="shared" si="0"/>
        <v>273</v>
      </c>
      <c r="H25">
        <f t="shared" si="1"/>
        <v>109.2</v>
      </c>
      <c r="I25" t="str">
        <f t="shared" si="2"/>
        <v>Low Risk</v>
      </c>
    </row>
    <row r="26" spans="1:9" x14ac:dyDescent="0.25">
      <c r="A26" s="1" t="s">
        <v>30</v>
      </c>
      <c r="B26" t="s">
        <v>80</v>
      </c>
      <c r="C26">
        <v>77</v>
      </c>
      <c r="D26">
        <v>27</v>
      </c>
      <c r="E26">
        <v>45</v>
      </c>
      <c r="F26">
        <v>63</v>
      </c>
      <c r="G26">
        <f t="shared" si="0"/>
        <v>212</v>
      </c>
      <c r="H26">
        <f t="shared" si="1"/>
        <v>84.8</v>
      </c>
      <c r="I26" t="str">
        <f t="shared" si="2"/>
        <v>Low Risk</v>
      </c>
    </row>
    <row r="27" spans="1:9" x14ac:dyDescent="0.25">
      <c r="A27" s="1" t="s">
        <v>31</v>
      </c>
      <c r="B27" t="s">
        <v>81</v>
      </c>
      <c r="C27">
        <v>23</v>
      </c>
      <c r="D27">
        <v>12</v>
      </c>
      <c r="E27">
        <v>23</v>
      </c>
      <c r="F27">
        <v>53</v>
      </c>
      <c r="G27">
        <f t="shared" si="0"/>
        <v>111</v>
      </c>
      <c r="H27">
        <f t="shared" si="1"/>
        <v>44.4</v>
      </c>
      <c r="I27" t="str">
        <f t="shared" si="2"/>
        <v>Medium Risk</v>
      </c>
    </row>
    <row r="28" spans="1:9" x14ac:dyDescent="0.25">
      <c r="A28" s="1" t="s">
        <v>32</v>
      </c>
      <c r="B28" t="s">
        <v>82</v>
      </c>
      <c r="C28">
        <v>52</v>
      </c>
      <c r="D28">
        <v>69</v>
      </c>
      <c r="E28">
        <v>62</v>
      </c>
      <c r="F28">
        <v>54</v>
      </c>
      <c r="G28">
        <f t="shared" si="0"/>
        <v>237</v>
      </c>
      <c r="H28">
        <f t="shared" si="1"/>
        <v>94.8</v>
      </c>
      <c r="I28" t="str">
        <f t="shared" si="2"/>
        <v>Low Risk</v>
      </c>
    </row>
    <row r="29" spans="1:9" x14ac:dyDescent="0.25">
      <c r="A29" s="1" t="s">
        <v>33</v>
      </c>
      <c r="B29" t="s">
        <v>83</v>
      </c>
      <c r="C29">
        <v>59</v>
      </c>
      <c r="D29">
        <v>82</v>
      </c>
      <c r="E29">
        <v>36</v>
      </c>
      <c r="F29">
        <v>57</v>
      </c>
      <c r="G29">
        <f t="shared" si="0"/>
        <v>234</v>
      </c>
      <c r="H29">
        <f t="shared" si="1"/>
        <v>93.6</v>
      </c>
      <c r="I29" t="str">
        <f t="shared" si="2"/>
        <v>Low Risk</v>
      </c>
    </row>
    <row r="30" spans="1:9" x14ac:dyDescent="0.25">
      <c r="A30" s="1" t="s">
        <v>34</v>
      </c>
      <c r="B30" t="s">
        <v>84</v>
      </c>
      <c r="C30">
        <v>64</v>
      </c>
      <c r="D30">
        <v>95</v>
      </c>
      <c r="E30">
        <v>48</v>
      </c>
      <c r="F30">
        <v>59</v>
      </c>
      <c r="G30">
        <f t="shared" si="0"/>
        <v>266</v>
      </c>
      <c r="H30">
        <f t="shared" si="1"/>
        <v>106.4</v>
      </c>
      <c r="I30" t="str">
        <f t="shared" si="2"/>
        <v>Low Risk</v>
      </c>
    </row>
    <row r="31" spans="1:9" x14ac:dyDescent="0.25">
      <c r="A31" s="1" t="s">
        <v>35</v>
      </c>
      <c r="B31" t="s">
        <v>85</v>
      </c>
      <c r="C31">
        <v>40</v>
      </c>
      <c r="D31">
        <v>20</v>
      </c>
      <c r="E31">
        <v>19</v>
      </c>
      <c r="F31">
        <v>51</v>
      </c>
      <c r="G31">
        <f t="shared" si="0"/>
        <v>130</v>
      </c>
      <c r="H31">
        <f t="shared" si="1"/>
        <v>52</v>
      </c>
      <c r="I31" t="str">
        <f t="shared" si="2"/>
        <v>Medium Risk</v>
      </c>
    </row>
    <row r="32" spans="1:9" x14ac:dyDescent="0.25">
      <c r="A32" s="1" t="s">
        <v>36</v>
      </c>
      <c r="B32" t="s">
        <v>86</v>
      </c>
      <c r="C32">
        <v>41</v>
      </c>
      <c r="D32">
        <v>81</v>
      </c>
      <c r="E32">
        <v>92</v>
      </c>
      <c r="F32">
        <v>52</v>
      </c>
      <c r="G32">
        <f t="shared" si="0"/>
        <v>266</v>
      </c>
      <c r="H32">
        <f t="shared" si="1"/>
        <v>106.4</v>
      </c>
      <c r="I32" t="str">
        <f t="shared" si="2"/>
        <v>Low Risk</v>
      </c>
    </row>
    <row r="33" spans="1:9" x14ac:dyDescent="0.25">
      <c r="A33" s="1" t="s">
        <v>37</v>
      </c>
      <c r="B33" t="s">
        <v>87</v>
      </c>
      <c r="C33">
        <v>54</v>
      </c>
      <c r="D33">
        <v>67</v>
      </c>
      <c r="E33">
        <v>45</v>
      </c>
      <c r="F33">
        <v>76</v>
      </c>
      <c r="G33">
        <f t="shared" si="0"/>
        <v>242</v>
      </c>
      <c r="H33">
        <f t="shared" si="1"/>
        <v>96.8</v>
      </c>
      <c r="I33" t="str">
        <f t="shared" si="2"/>
        <v>Low Risk</v>
      </c>
    </row>
    <row r="34" spans="1:9" x14ac:dyDescent="0.25">
      <c r="A34" s="1" t="s">
        <v>38</v>
      </c>
      <c r="B34" t="s">
        <v>88</v>
      </c>
      <c r="C34">
        <v>66</v>
      </c>
      <c r="D34">
        <v>89</v>
      </c>
      <c r="E34">
        <v>52</v>
      </c>
      <c r="F34">
        <v>74</v>
      </c>
      <c r="G34">
        <f t="shared" si="0"/>
        <v>281</v>
      </c>
      <c r="H34">
        <f t="shared" si="1"/>
        <v>112.4</v>
      </c>
      <c r="I34" t="str">
        <f t="shared" si="2"/>
        <v>Low Risk</v>
      </c>
    </row>
    <row r="35" spans="1:9" x14ac:dyDescent="0.25">
      <c r="A35" s="1" t="s">
        <v>39</v>
      </c>
      <c r="B35" t="s">
        <v>105</v>
      </c>
      <c r="C35">
        <v>94</v>
      </c>
      <c r="D35">
        <v>91</v>
      </c>
      <c r="E35">
        <v>58</v>
      </c>
      <c r="F35">
        <v>91</v>
      </c>
      <c r="G35">
        <f t="shared" si="0"/>
        <v>334</v>
      </c>
      <c r="H35">
        <f t="shared" si="1"/>
        <v>133.6</v>
      </c>
      <c r="I35" t="str">
        <f t="shared" si="2"/>
        <v>Low Risk</v>
      </c>
    </row>
    <row r="36" spans="1:9" x14ac:dyDescent="0.25">
      <c r="A36" s="1" t="s">
        <v>40</v>
      </c>
      <c r="B36" t="s">
        <v>89</v>
      </c>
      <c r="C36">
        <v>63</v>
      </c>
      <c r="D36">
        <v>36</v>
      </c>
      <c r="E36">
        <v>72</v>
      </c>
      <c r="F36">
        <v>75</v>
      </c>
      <c r="G36">
        <f t="shared" si="0"/>
        <v>246</v>
      </c>
      <c r="H36">
        <f t="shared" si="1"/>
        <v>98.4</v>
      </c>
      <c r="I36" t="str">
        <f t="shared" si="2"/>
        <v>Low Risk</v>
      </c>
    </row>
    <row r="37" spans="1:9" x14ac:dyDescent="0.25">
      <c r="A37" s="1" t="s">
        <v>41</v>
      </c>
      <c r="B37" t="s">
        <v>90</v>
      </c>
      <c r="C37">
        <v>27</v>
      </c>
      <c r="D37">
        <v>20</v>
      </c>
      <c r="E37">
        <v>35</v>
      </c>
      <c r="F37">
        <v>25</v>
      </c>
      <c r="G37">
        <f t="shared" si="0"/>
        <v>107</v>
      </c>
      <c r="H37">
        <f t="shared" si="1"/>
        <v>42.8</v>
      </c>
      <c r="I37" t="str">
        <f t="shared" si="2"/>
        <v>Medium Risk</v>
      </c>
    </row>
    <row r="38" spans="1:9" x14ac:dyDescent="0.25">
      <c r="A38" s="1" t="s">
        <v>42</v>
      </c>
      <c r="B38" t="s">
        <v>91</v>
      </c>
      <c r="C38">
        <v>36</v>
      </c>
      <c r="D38">
        <v>82</v>
      </c>
      <c r="E38">
        <v>61</v>
      </c>
      <c r="F38">
        <v>49</v>
      </c>
      <c r="G38">
        <f t="shared" si="0"/>
        <v>228</v>
      </c>
      <c r="H38">
        <f t="shared" si="1"/>
        <v>91.2</v>
      </c>
      <c r="I38" t="str">
        <f t="shared" si="2"/>
        <v>Low Risk</v>
      </c>
    </row>
    <row r="39" spans="1:9" x14ac:dyDescent="0.25">
      <c r="A39" s="1" t="s">
        <v>43</v>
      </c>
      <c r="B39" t="s">
        <v>92</v>
      </c>
      <c r="C39">
        <v>95</v>
      </c>
      <c r="D39">
        <v>69</v>
      </c>
      <c r="E39">
        <v>63</v>
      </c>
      <c r="F39">
        <v>85</v>
      </c>
      <c r="G39">
        <f t="shared" si="0"/>
        <v>312</v>
      </c>
      <c r="H39">
        <f t="shared" si="1"/>
        <v>124.8</v>
      </c>
      <c r="I39" t="str">
        <f t="shared" si="2"/>
        <v>Low Risk</v>
      </c>
    </row>
    <row r="40" spans="1:9" x14ac:dyDescent="0.25">
      <c r="A40" s="1" t="s">
        <v>44</v>
      </c>
      <c r="B40" t="s">
        <v>93</v>
      </c>
      <c r="C40">
        <v>21</v>
      </c>
      <c r="D40">
        <v>25</v>
      </c>
      <c r="E40">
        <v>16</v>
      </c>
      <c r="F40">
        <v>25</v>
      </c>
      <c r="G40">
        <f t="shared" si="0"/>
        <v>87</v>
      </c>
      <c r="H40">
        <f t="shared" si="1"/>
        <v>34.799999999999997</v>
      </c>
      <c r="I40" t="str">
        <f t="shared" si="2"/>
        <v>High Risk</v>
      </c>
    </row>
    <row r="41" spans="1:9" x14ac:dyDescent="0.25">
      <c r="A41" s="1" t="s">
        <v>45</v>
      </c>
      <c r="B41" t="s">
        <v>94</v>
      </c>
      <c r="C41">
        <v>99</v>
      </c>
      <c r="D41">
        <v>49</v>
      </c>
      <c r="E41">
        <v>67</v>
      </c>
      <c r="F41">
        <v>51</v>
      </c>
      <c r="G41">
        <f t="shared" si="0"/>
        <v>266</v>
      </c>
      <c r="H41">
        <f t="shared" si="1"/>
        <v>106.4</v>
      </c>
      <c r="I41" t="str">
        <f t="shared" si="2"/>
        <v>Low Risk</v>
      </c>
    </row>
    <row r="42" spans="1:9" x14ac:dyDescent="0.25">
      <c r="A42" s="1" t="s">
        <v>46</v>
      </c>
      <c r="B42" t="s">
        <v>95</v>
      </c>
      <c r="C42">
        <v>45</v>
      </c>
      <c r="D42">
        <v>82</v>
      </c>
      <c r="E42">
        <v>82</v>
      </c>
      <c r="F42">
        <v>55</v>
      </c>
      <c r="G42">
        <f t="shared" si="0"/>
        <v>264</v>
      </c>
      <c r="H42">
        <f t="shared" si="1"/>
        <v>105.6</v>
      </c>
      <c r="I42" t="str">
        <f t="shared" si="2"/>
        <v>Low Risk</v>
      </c>
    </row>
    <row r="43" spans="1:9" x14ac:dyDescent="0.25">
      <c r="A43" s="1" t="s">
        <v>47</v>
      </c>
      <c r="B43" t="s">
        <v>96</v>
      </c>
      <c r="C43">
        <v>89</v>
      </c>
      <c r="D43">
        <v>69</v>
      </c>
      <c r="E43">
        <v>91</v>
      </c>
      <c r="F43">
        <v>86</v>
      </c>
      <c r="G43">
        <f t="shared" si="0"/>
        <v>335</v>
      </c>
      <c r="H43">
        <f t="shared" si="1"/>
        <v>134</v>
      </c>
      <c r="I43" t="str">
        <f t="shared" si="2"/>
        <v>Low Risk</v>
      </c>
    </row>
    <row r="44" spans="1:9" x14ac:dyDescent="0.25">
      <c r="A44" s="1" t="s">
        <v>48</v>
      </c>
      <c r="B44" t="s">
        <v>97</v>
      </c>
      <c r="C44">
        <v>65</v>
      </c>
      <c r="D44">
        <v>32</v>
      </c>
      <c r="E44">
        <v>32</v>
      </c>
      <c r="F44">
        <v>94</v>
      </c>
      <c r="G44">
        <f t="shared" si="0"/>
        <v>223</v>
      </c>
      <c r="H44">
        <f t="shared" si="1"/>
        <v>89.2</v>
      </c>
      <c r="I44" t="str">
        <f t="shared" si="2"/>
        <v>Low Risk</v>
      </c>
    </row>
    <row r="45" spans="1:9" x14ac:dyDescent="0.25">
      <c r="A45" s="1" t="s">
        <v>49</v>
      </c>
      <c r="B45" t="s">
        <v>98</v>
      </c>
      <c r="C45">
        <v>52</v>
      </c>
      <c r="D45">
        <v>79</v>
      </c>
      <c r="E45">
        <v>54</v>
      </c>
      <c r="F45">
        <v>77</v>
      </c>
      <c r="G45">
        <f t="shared" si="0"/>
        <v>262</v>
      </c>
      <c r="H45">
        <f t="shared" si="1"/>
        <v>104.8</v>
      </c>
      <c r="I45" t="str">
        <f t="shared" si="2"/>
        <v>Low Risk</v>
      </c>
    </row>
    <row r="46" spans="1:9" x14ac:dyDescent="0.25">
      <c r="A46" s="1" t="s">
        <v>50</v>
      </c>
      <c r="B46" t="s">
        <v>99</v>
      </c>
      <c r="C46">
        <v>54</v>
      </c>
      <c r="D46">
        <v>45</v>
      </c>
      <c r="E46">
        <v>72</v>
      </c>
      <c r="F46">
        <v>72</v>
      </c>
      <c r="G46">
        <f t="shared" si="0"/>
        <v>243</v>
      </c>
      <c r="H46">
        <f t="shared" si="1"/>
        <v>97.2</v>
      </c>
      <c r="I46" t="str">
        <f t="shared" si="2"/>
        <v>Low Risk</v>
      </c>
    </row>
    <row r="47" spans="1:9" x14ac:dyDescent="0.25">
      <c r="A47" s="1" t="s">
        <v>51</v>
      </c>
      <c r="B47" t="s">
        <v>100</v>
      </c>
      <c r="C47">
        <v>74</v>
      </c>
      <c r="D47">
        <v>65</v>
      </c>
      <c r="E47">
        <v>49</v>
      </c>
      <c r="F47">
        <v>82</v>
      </c>
      <c r="G47">
        <f t="shared" si="0"/>
        <v>270</v>
      </c>
      <c r="H47">
        <f t="shared" si="1"/>
        <v>108</v>
      </c>
      <c r="I47" t="str">
        <f t="shared" si="2"/>
        <v>Low Risk</v>
      </c>
    </row>
    <row r="48" spans="1:9" x14ac:dyDescent="0.25">
      <c r="A48" s="1" t="s">
        <v>52</v>
      </c>
      <c r="B48" t="s">
        <v>101</v>
      </c>
      <c r="C48">
        <v>36</v>
      </c>
      <c r="D48">
        <v>29</v>
      </c>
      <c r="E48">
        <v>41</v>
      </c>
      <c r="F48">
        <v>36</v>
      </c>
      <c r="G48">
        <f t="shared" si="0"/>
        <v>142</v>
      </c>
      <c r="H48">
        <f t="shared" si="1"/>
        <v>56.8</v>
      </c>
      <c r="I48" t="str">
        <f t="shared" si="2"/>
        <v>Medium Risk</v>
      </c>
    </row>
    <row r="49" spans="1:9" x14ac:dyDescent="0.25">
      <c r="A49" s="1" t="s">
        <v>53</v>
      </c>
      <c r="B49" t="s">
        <v>102</v>
      </c>
      <c r="C49">
        <v>82</v>
      </c>
      <c r="D49">
        <v>96</v>
      </c>
      <c r="E49">
        <v>51</v>
      </c>
      <c r="F49">
        <v>62</v>
      </c>
      <c r="G49">
        <f t="shared" si="0"/>
        <v>291</v>
      </c>
      <c r="H49">
        <f t="shared" si="1"/>
        <v>116.4</v>
      </c>
      <c r="I49" t="str">
        <f t="shared" si="2"/>
        <v>Low Risk</v>
      </c>
    </row>
    <row r="50" spans="1:9" x14ac:dyDescent="0.25">
      <c r="A50" s="1" t="s">
        <v>54</v>
      </c>
      <c r="B50" t="s">
        <v>103</v>
      </c>
      <c r="C50">
        <v>39</v>
      </c>
      <c r="D50">
        <v>67</v>
      </c>
      <c r="E50">
        <v>64</v>
      </c>
      <c r="F50">
        <v>73</v>
      </c>
      <c r="G50">
        <f t="shared" si="0"/>
        <v>243</v>
      </c>
      <c r="H50">
        <f t="shared" si="1"/>
        <v>97.2</v>
      </c>
      <c r="I50" t="str">
        <f t="shared" si="2"/>
        <v>Low Risk</v>
      </c>
    </row>
    <row r="51" spans="1:9" x14ac:dyDescent="0.25">
      <c r="A51" s="1" t="s">
        <v>55</v>
      </c>
      <c r="B51" t="s">
        <v>104</v>
      </c>
      <c r="C51">
        <v>23</v>
      </c>
      <c r="D51">
        <v>14</v>
      </c>
      <c r="E51">
        <v>32</v>
      </c>
      <c r="F51">
        <v>21</v>
      </c>
      <c r="G51">
        <f t="shared" si="0"/>
        <v>90</v>
      </c>
      <c r="H51">
        <f t="shared" si="1"/>
        <v>36</v>
      </c>
      <c r="I51" t="str">
        <f t="shared" si="2"/>
        <v>High Risk</v>
      </c>
    </row>
  </sheetData>
  <phoneticPr fontId="1" type="noConversion"/>
  <conditionalFormatting sqref="H2:H51">
    <cfRule type="cellIs" dxfId="2" priority="1" operator="greaterThan">
      <formula>60</formula>
    </cfRule>
    <cfRule type="cellIs" dxfId="1" priority="2" operator="between">
      <formula>40</formula>
      <formula>59</formula>
    </cfRule>
    <cfRule type="cellIs" dxfId="0" priority="3" operator="lessThan">
      <formula>40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F5B5-0633-4B62-8A25-9834BCFE093A}">
  <dimension ref="A1:Y87"/>
  <sheetViews>
    <sheetView zoomScale="60" zoomScaleNormal="60" workbookViewId="0">
      <selection activeCell="H3" sqref="H3"/>
    </sheetView>
  </sheetViews>
  <sheetFormatPr defaultRowHeight="15" x14ac:dyDescent="0.25"/>
  <cols>
    <col min="1" max="1" width="13.140625" bestFit="1" customWidth="1"/>
    <col min="2" max="2" width="67.140625" customWidth="1"/>
    <col min="3" max="6" width="15" bestFit="1" customWidth="1"/>
    <col min="7" max="7" width="13.140625" bestFit="1" customWidth="1"/>
    <col min="8" max="8" width="21.7109375" bestFit="1" customWidth="1"/>
    <col min="9" max="9" width="15" bestFit="1" customWidth="1"/>
    <col min="21" max="21" width="35.28515625" customWidth="1"/>
    <col min="24" max="24" width="31.140625" customWidth="1"/>
    <col min="25" max="25" width="11.28515625" customWidth="1"/>
  </cols>
  <sheetData>
    <row r="1" spans="1:25" ht="26.25" x14ac:dyDescent="0.4">
      <c r="A1" s="11" t="s">
        <v>120</v>
      </c>
      <c r="B1" s="11"/>
    </row>
    <row r="2" spans="1:25" ht="31.5" x14ac:dyDescent="0.5">
      <c r="R2" s="12"/>
      <c r="S2" s="12"/>
      <c r="T2" s="12"/>
      <c r="U2" s="12"/>
      <c r="X2" s="4" t="s">
        <v>116</v>
      </c>
      <c r="Y2" s="4">
        <v>50</v>
      </c>
    </row>
    <row r="3" spans="1:25" ht="31.5" x14ac:dyDescent="0.5">
      <c r="A3" s="2" t="s">
        <v>109</v>
      </c>
      <c r="B3" t="s">
        <v>115</v>
      </c>
      <c r="R3" s="12"/>
      <c r="S3" s="12"/>
      <c r="T3" s="12"/>
      <c r="U3" s="12"/>
      <c r="X3" s="5" t="s">
        <v>117</v>
      </c>
      <c r="Y3" s="5">
        <f>AVERAGE('Raw Data'!H2:H51)</f>
        <v>88.8</v>
      </c>
    </row>
    <row r="4" spans="1:25" ht="31.5" x14ac:dyDescent="0.5">
      <c r="A4" s="3" t="s">
        <v>113</v>
      </c>
      <c r="B4">
        <v>5</v>
      </c>
      <c r="R4" s="12"/>
      <c r="S4" s="12"/>
      <c r="T4" s="12"/>
      <c r="U4" s="12"/>
      <c r="X4" s="6" t="s">
        <v>108</v>
      </c>
      <c r="Y4" s="6">
        <f>COUNTIF('Raw Data'!I2:I51,"High Risk")</f>
        <v>5</v>
      </c>
    </row>
    <row r="5" spans="1:25" ht="31.5" x14ac:dyDescent="0.5">
      <c r="A5" s="3" t="s">
        <v>114</v>
      </c>
      <c r="B5">
        <v>38</v>
      </c>
      <c r="X5" s="7" t="s">
        <v>118</v>
      </c>
      <c r="Y5" s="8">
        <f>COUNTIF('Raw Data'!H2:H51,"&gt;=50")/COUNTA('Raw Data'!H2:H51)</f>
        <v>0.82</v>
      </c>
    </row>
    <row r="6" spans="1:25" x14ac:dyDescent="0.25">
      <c r="A6" s="3" t="s">
        <v>112</v>
      </c>
      <c r="B6">
        <v>7</v>
      </c>
      <c r="S6" s="10"/>
      <c r="T6" s="10"/>
    </row>
    <row r="7" spans="1:25" x14ac:dyDescent="0.25">
      <c r="A7" s="3" t="s">
        <v>110</v>
      </c>
      <c r="B7">
        <v>50</v>
      </c>
    </row>
    <row r="15" spans="1:25" x14ac:dyDescent="0.25">
      <c r="A15" s="2" t="s">
        <v>109</v>
      </c>
      <c r="B15" t="s">
        <v>111</v>
      </c>
    </row>
    <row r="16" spans="1:25" x14ac:dyDescent="0.25">
      <c r="A16" s="3" t="s">
        <v>103</v>
      </c>
      <c r="B16" s="9">
        <v>97.2</v>
      </c>
    </row>
    <row r="17" spans="1:2" x14ac:dyDescent="0.25">
      <c r="A17" s="3" t="s">
        <v>85</v>
      </c>
      <c r="B17" s="9">
        <v>52</v>
      </c>
    </row>
    <row r="18" spans="1:2" x14ac:dyDescent="0.25">
      <c r="A18" s="3" t="s">
        <v>59</v>
      </c>
      <c r="B18" s="9">
        <v>101.2</v>
      </c>
    </row>
    <row r="19" spans="1:2" x14ac:dyDescent="0.25">
      <c r="A19" s="3" t="s">
        <v>77</v>
      </c>
      <c r="B19" s="9">
        <v>103.6</v>
      </c>
    </row>
    <row r="20" spans="1:2" x14ac:dyDescent="0.25">
      <c r="A20" s="3" t="s">
        <v>86</v>
      </c>
      <c r="B20" s="9">
        <v>106.4</v>
      </c>
    </row>
    <row r="21" spans="1:2" x14ac:dyDescent="0.25">
      <c r="A21" s="3" t="s">
        <v>64</v>
      </c>
      <c r="B21" s="9">
        <v>92</v>
      </c>
    </row>
    <row r="22" spans="1:2" x14ac:dyDescent="0.25">
      <c r="A22" s="3" t="s">
        <v>78</v>
      </c>
      <c r="B22" s="9">
        <v>126.8</v>
      </c>
    </row>
    <row r="23" spans="1:2" x14ac:dyDescent="0.25">
      <c r="A23" s="3" t="s">
        <v>87</v>
      </c>
      <c r="B23" s="9">
        <v>96.8</v>
      </c>
    </row>
    <row r="24" spans="1:2" x14ac:dyDescent="0.25">
      <c r="A24" s="3" t="s">
        <v>105</v>
      </c>
      <c r="B24" s="9">
        <v>133.6</v>
      </c>
    </row>
    <row r="25" spans="1:2" x14ac:dyDescent="0.25">
      <c r="A25" s="3" t="s">
        <v>74</v>
      </c>
      <c r="B25" s="9">
        <v>28.8</v>
      </c>
    </row>
    <row r="26" spans="1:2" x14ac:dyDescent="0.25">
      <c r="A26" s="3" t="s">
        <v>63</v>
      </c>
      <c r="B26" s="9">
        <v>82</v>
      </c>
    </row>
    <row r="27" spans="1:2" x14ac:dyDescent="0.25">
      <c r="A27" s="3" t="s">
        <v>88</v>
      </c>
      <c r="B27" s="9">
        <v>112.4</v>
      </c>
    </row>
    <row r="28" spans="1:2" x14ac:dyDescent="0.25">
      <c r="A28" s="3" t="s">
        <v>65</v>
      </c>
      <c r="B28" s="9">
        <v>120.8</v>
      </c>
    </row>
    <row r="29" spans="1:2" x14ac:dyDescent="0.25">
      <c r="A29" s="3" t="s">
        <v>89</v>
      </c>
      <c r="B29" s="9">
        <v>98.4</v>
      </c>
    </row>
    <row r="30" spans="1:2" x14ac:dyDescent="0.25">
      <c r="A30" s="3" t="s">
        <v>90</v>
      </c>
      <c r="B30" s="9">
        <v>42.8</v>
      </c>
    </row>
    <row r="31" spans="1:2" x14ac:dyDescent="0.25">
      <c r="A31" s="3" t="s">
        <v>62</v>
      </c>
      <c r="B31" s="9">
        <v>41.2</v>
      </c>
    </row>
    <row r="32" spans="1:2" x14ac:dyDescent="0.25">
      <c r="A32" s="3" t="s">
        <v>73</v>
      </c>
      <c r="B32" s="9">
        <v>92.8</v>
      </c>
    </row>
    <row r="33" spans="1:8" x14ac:dyDescent="0.25">
      <c r="A33" s="3" t="s">
        <v>91</v>
      </c>
      <c r="B33" s="9">
        <v>91.2</v>
      </c>
    </row>
    <row r="34" spans="1:8" x14ac:dyDescent="0.25">
      <c r="A34" s="3" t="s">
        <v>57</v>
      </c>
      <c r="B34" s="9">
        <v>28</v>
      </c>
    </row>
    <row r="35" spans="1:8" x14ac:dyDescent="0.25">
      <c r="A35" s="3" t="s">
        <v>60</v>
      </c>
      <c r="B35" s="9">
        <v>116.8</v>
      </c>
    </row>
    <row r="36" spans="1:8" x14ac:dyDescent="0.25">
      <c r="A36" s="3" t="s">
        <v>72</v>
      </c>
      <c r="B36" s="9">
        <v>92.4</v>
      </c>
      <c r="G36" s="2" t="s">
        <v>109</v>
      </c>
      <c r="H36" t="s">
        <v>119</v>
      </c>
    </row>
    <row r="37" spans="1:8" x14ac:dyDescent="0.25">
      <c r="A37" s="3" t="s">
        <v>68</v>
      </c>
      <c r="B37" s="9">
        <v>114.4</v>
      </c>
      <c r="G37" s="3" t="s">
        <v>103</v>
      </c>
      <c r="H37" s="9">
        <v>39</v>
      </c>
    </row>
    <row r="38" spans="1:8" x14ac:dyDescent="0.25">
      <c r="A38" s="3" t="s">
        <v>66</v>
      </c>
      <c r="B38" s="9">
        <v>102.4</v>
      </c>
      <c r="G38" s="3" t="s">
        <v>85</v>
      </c>
      <c r="H38" s="9">
        <v>40</v>
      </c>
    </row>
    <row r="39" spans="1:8" x14ac:dyDescent="0.25">
      <c r="A39" s="3" t="s">
        <v>70</v>
      </c>
      <c r="B39" s="9">
        <v>95.6</v>
      </c>
      <c r="G39" s="3" t="s">
        <v>59</v>
      </c>
      <c r="H39" s="9">
        <v>88</v>
      </c>
    </row>
    <row r="40" spans="1:8" x14ac:dyDescent="0.25">
      <c r="A40" s="3" t="s">
        <v>92</v>
      </c>
      <c r="B40" s="9">
        <v>124.8</v>
      </c>
      <c r="G40" s="3" t="s">
        <v>77</v>
      </c>
      <c r="H40" s="9">
        <v>70</v>
      </c>
    </row>
    <row r="41" spans="1:8" x14ac:dyDescent="0.25">
      <c r="A41" s="3" t="s">
        <v>93</v>
      </c>
      <c r="B41" s="9">
        <v>34.799999999999997</v>
      </c>
      <c r="G41" s="3" t="s">
        <v>86</v>
      </c>
      <c r="H41" s="9">
        <v>41</v>
      </c>
    </row>
    <row r="42" spans="1:8" x14ac:dyDescent="0.25">
      <c r="A42" s="3" t="s">
        <v>56</v>
      </c>
      <c r="B42" s="9">
        <v>55.2</v>
      </c>
      <c r="G42" s="3" t="s">
        <v>64</v>
      </c>
      <c r="H42" s="9">
        <v>58</v>
      </c>
    </row>
    <row r="43" spans="1:8" x14ac:dyDescent="0.25">
      <c r="A43" s="3" t="s">
        <v>80</v>
      </c>
      <c r="B43" s="9">
        <v>84.8</v>
      </c>
      <c r="G43" s="3" t="s">
        <v>78</v>
      </c>
      <c r="H43" s="9">
        <v>83</v>
      </c>
    </row>
    <row r="44" spans="1:8" x14ac:dyDescent="0.25">
      <c r="A44" s="3" t="s">
        <v>104</v>
      </c>
      <c r="B44" s="9">
        <v>36</v>
      </c>
      <c r="G44" s="3" t="s">
        <v>87</v>
      </c>
      <c r="H44" s="9">
        <v>54</v>
      </c>
    </row>
    <row r="45" spans="1:8" x14ac:dyDescent="0.25">
      <c r="A45" s="3" t="s">
        <v>84</v>
      </c>
      <c r="B45" s="9">
        <v>106.4</v>
      </c>
      <c r="G45" s="3" t="s">
        <v>105</v>
      </c>
      <c r="H45" s="9">
        <v>94</v>
      </c>
    </row>
    <row r="46" spans="1:8" x14ac:dyDescent="0.25">
      <c r="A46" s="3" t="s">
        <v>94</v>
      </c>
      <c r="B46" s="9">
        <v>106.4</v>
      </c>
      <c r="G46" s="3" t="s">
        <v>74</v>
      </c>
      <c r="H46" s="9">
        <v>12</v>
      </c>
    </row>
    <row r="47" spans="1:8" x14ac:dyDescent="0.25">
      <c r="A47" s="3" t="s">
        <v>81</v>
      </c>
      <c r="B47" s="9">
        <v>44.4</v>
      </c>
      <c r="G47" s="3" t="s">
        <v>63</v>
      </c>
      <c r="H47" s="9">
        <v>39</v>
      </c>
    </row>
    <row r="48" spans="1:8" x14ac:dyDescent="0.25">
      <c r="A48" s="3" t="s">
        <v>75</v>
      </c>
      <c r="B48" s="9">
        <v>90</v>
      </c>
      <c r="G48" s="3" t="s">
        <v>88</v>
      </c>
      <c r="H48" s="9">
        <v>66</v>
      </c>
    </row>
    <row r="49" spans="1:8" x14ac:dyDescent="0.25">
      <c r="A49" s="3" t="s">
        <v>95</v>
      </c>
      <c r="B49" s="9">
        <v>105.6</v>
      </c>
      <c r="G49" s="3" t="s">
        <v>65</v>
      </c>
      <c r="H49" s="9">
        <v>67</v>
      </c>
    </row>
    <row r="50" spans="1:8" x14ac:dyDescent="0.25">
      <c r="A50" s="3" t="s">
        <v>96</v>
      </c>
      <c r="B50" s="9">
        <v>134</v>
      </c>
      <c r="G50" s="3" t="s">
        <v>89</v>
      </c>
      <c r="H50" s="9">
        <v>63</v>
      </c>
    </row>
    <row r="51" spans="1:8" x14ac:dyDescent="0.25">
      <c r="A51" s="3" t="s">
        <v>76</v>
      </c>
      <c r="B51" s="9">
        <v>92.8</v>
      </c>
      <c r="G51" s="3" t="s">
        <v>90</v>
      </c>
      <c r="H51" s="9">
        <v>27</v>
      </c>
    </row>
    <row r="52" spans="1:8" x14ac:dyDescent="0.25">
      <c r="A52" s="3" t="s">
        <v>69</v>
      </c>
      <c r="B52" s="9">
        <v>138.4</v>
      </c>
      <c r="G52" s="3" t="s">
        <v>62</v>
      </c>
      <c r="H52" s="9">
        <v>27</v>
      </c>
    </row>
    <row r="53" spans="1:8" x14ac:dyDescent="0.25">
      <c r="A53" s="3" t="s">
        <v>97</v>
      </c>
      <c r="B53" s="9">
        <v>89.2</v>
      </c>
      <c r="G53" s="3" t="s">
        <v>73</v>
      </c>
      <c r="H53" s="9">
        <v>82</v>
      </c>
    </row>
    <row r="54" spans="1:8" x14ac:dyDescent="0.25">
      <c r="A54" s="3" t="s">
        <v>67</v>
      </c>
      <c r="B54" s="9">
        <v>34.799999999999997</v>
      </c>
      <c r="G54" s="3" t="s">
        <v>91</v>
      </c>
      <c r="H54" s="9">
        <v>36</v>
      </c>
    </row>
    <row r="55" spans="1:8" x14ac:dyDescent="0.25">
      <c r="A55" s="3" t="s">
        <v>71</v>
      </c>
      <c r="B55" s="9">
        <v>42</v>
      </c>
      <c r="G55" s="3" t="s">
        <v>57</v>
      </c>
      <c r="H55" s="9">
        <v>20</v>
      </c>
    </row>
    <row r="56" spans="1:8" x14ac:dyDescent="0.25">
      <c r="A56" s="3" t="s">
        <v>58</v>
      </c>
      <c r="B56" s="9">
        <v>96.4</v>
      </c>
      <c r="G56" s="3" t="s">
        <v>60</v>
      </c>
      <c r="H56" s="9">
        <v>92</v>
      </c>
    </row>
    <row r="57" spans="1:8" x14ac:dyDescent="0.25">
      <c r="A57" s="3" t="s">
        <v>82</v>
      </c>
      <c r="B57" s="9">
        <v>94.8</v>
      </c>
      <c r="G57" s="3" t="s">
        <v>72</v>
      </c>
      <c r="H57" s="9">
        <v>63</v>
      </c>
    </row>
    <row r="58" spans="1:8" x14ac:dyDescent="0.25">
      <c r="A58" s="3" t="s">
        <v>61</v>
      </c>
      <c r="B58" s="9">
        <v>73.599999999999994</v>
      </c>
      <c r="G58" s="3" t="s">
        <v>68</v>
      </c>
      <c r="H58" s="9">
        <v>90</v>
      </c>
    </row>
    <row r="59" spans="1:8" x14ac:dyDescent="0.25">
      <c r="A59" s="3" t="s">
        <v>98</v>
      </c>
      <c r="B59" s="9">
        <v>104.8</v>
      </c>
      <c r="G59" s="3" t="s">
        <v>66</v>
      </c>
      <c r="H59" s="9">
        <v>60</v>
      </c>
    </row>
    <row r="60" spans="1:8" x14ac:dyDescent="0.25">
      <c r="A60" s="3" t="s">
        <v>79</v>
      </c>
      <c r="B60" s="9">
        <v>109.2</v>
      </c>
      <c r="G60" s="3" t="s">
        <v>70</v>
      </c>
      <c r="H60" s="9">
        <v>45</v>
      </c>
    </row>
    <row r="61" spans="1:8" x14ac:dyDescent="0.25">
      <c r="A61" s="3" t="s">
        <v>99</v>
      </c>
      <c r="B61" s="9">
        <v>97.2</v>
      </c>
      <c r="G61" s="3" t="s">
        <v>92</v>
      </c>
      <c r="H61" s="9">
        <v>95</v>
      </c>
    </row>
    <row r="62" spans="1:8" x14ac:dyDescent="0.25">
      <c r="A62" s="3" t="s">
        <v>100</v>
      </c>
      <c r="B62" s="9">
        <v>108</v>
      </c>
      <c r="G62" s="3" t="s">
        <v>93</v>
      </c>
      <c r="H62" s="9">
        <v>21</v>
      </c>
    </row>
    <row r="63" spans="1:8" x14ac:dyDescent="0.25">
      <c r="A63" s="3" t="s">
        <v>83</v>
      </c>
      <c r="B63" s="9">
        <v>93.6</v>
      </c>
      <c r="G63" s="3" t="s">
        <v>56</v>
      </c>
      <c r="H63" s="9">
        <v>20</v>
      </c>
    </row>
    <row r="64" spans="1:8" x14ac:dyDescent="0.25">
      <c r="A64" s="3" t="s">
        <v>101</v>
      </c>
      <c r="B64" s="9">
        <v>56.8</v>
      </c>
      <c r="G64" s="3" t="s">
        <v>80</v>
      </c>
      <c r="H64" s="9">
        <v>77</v>
      </c>
    </row>
    <row r="65" spans="1:8" x14ac:dyDescent="0.25">
      <c r="A65" s="3" t="s">
        <v>102</v>
      </c>
      <c r="B65" s="9">
        <v>116.4</v>
      </c>
      <c r="G65" s="3" t="s">
        <v>104</v>
      </c>
      <c r="H65" s="9">
        <v>23</v>
      </c>
    </row>
    <row r="66" spans="1:8" x14ac:dyDescent="0.25">
      <c r="A66" s="3" t="s">
        <v>110</v>
      </c>
      <c r="B66" s="9">
        <v>4440.0000000000009</v>
      </c>
      <c r="G66" s="3" t="s">
        <v>84</v>
      </c>
      <c r="H66" s="9">
        <v>64</v>
      </c>
    </row>
    <row r="67" spans="1:8" x14ac:dyDescent="0.25">
      <c r="G67" s="3" t="s">
        <v>94</v>
      </c>
      <c r="H67" s="9">
        <v>99</v>
      </c>
    </row>
    <row r="68" spans="1:8" x14ac:dyDescent="0.25">
      <c r="G68" s="3" t="s">
        <v>81</v>
      </c>
      <c r="H68" s="9">
        <v>23</v>
      </c>
    </row>
    <row r="69" spans="1:8" x14ac:dyDescent="0.25">
      <c r="G69" s="3" t="s">
        <v>75</v>
      </c>
      <c r="H69" s="9">
        <v>61</v>
      </c>
    </row>
    <row r="70" spans="1:8" x14ac:dyDescent="0.25">
      <c r="G70" s="3" t="s">
        <v>95</v>
      </c>
      <c r="H70" s="9">
        <v>45</v>
      </c>
    </row>
    <row r="71" spans="1:8" x14ac:dyDescent="0.25">
      <c r="G71" s="3" t="s">
        <v>96</v>
      </c>
      <c r="H71" s="9">
        <v>89</v>
      </c>
    </row>
    <row r="72" spans="1:8" x14ac:dyDescent="0.25">
      <c r="G72" s="3" t="s">
        <v>76</v>
      </c>
      <c r="H72" s="9">
        <v>29</v>
      </c>
    </row>
    <row r="73" spans="1:8" x14ac:dyDescent="0.25">
      <c r="G73" s="3" t="s">
        <v>69</v>
      </c>
      <c r="H73" s="9">
        <v>72</v>
      </c>
    </row>
    <row r="74" spans="1:8" x14ac:dyDescent="0.25">
      <c r="G74" s="3" t="s">
        <v>97</v>
      </c>
      <c r="H74" s="9">
        <v>65</v>
      </c>
    </row>
    <row r="75" spans="1:8" x14ac:dyDescent="0.25">
      <c r="G75" s="3" t="s">
        <v>67</v>
      </c>
      <c r="H75" s="9">
        <v>20</v>
      </c>
    </row>
    <row r="76" spans="1:8" x14ac:dyDescent="0.25">
      <c r="G76" s="3" t="s">
        <v>71</v>
      </c>
      <c r="H76" s="9">
        <v>12</v>
      </c>
    </row>
    <row r="77" spans="1:8" x14ac:dyDescent="0.25">
      <c r="G77" s="3" t="s">
        <v>58</v>
      </c>
      <c r="H77" s="9">
        <v>62</v>
      </c>
    </row>
    <row r="78" spans="1:8" x14ac:dyDescent="0.25">
      <c r="G78" s="3" t="s">
        <v>82</v>
      </c>
      <c r="H78" s="9">
        <v>52</v>
      </c>
    </row>
    <row r="79" spans="1:8" x14ac:dyDescent="0.25">
      <c r="G79" s="3" t="s">
        <v>61</v>
      </c>
      <c r="H79" s="9">
        <v>18</v>
      </c>
    </row>
    <row r="80" spans="1:8" x14ac:dyDescent="0.25">
      <c r="G80" s="3" t="s">
        <v>98</v>
      </c>
      <c r="H80" s="9">
        <v>52</v>
      </c>
    </row>
    <row r="81" spans="7:8" x14ac:dyDescent="0.25">
      <c r="G81" s="3" t="s">
        <v>79</v>
      </c>
      <c r="H81" s="9">
        <v>76</v>
      </c>
    </row>
    <row r="82" spans="7:8" x14ac:dyDescent="0.25">
      <c r="G82" s="3" t="s">
        <v>99</v>
      </c>
      <c r="H82" s="9">
        <v>54</v>
      </c>
    </row>
    <row r="83" spans="7:8" x14ac:dyDescent="0.25">
      <c r="G83" s="3" t="s">
        <v>100</v>
      </c>
      <c r="H83" s="9">
        <v>74</v>
      </c>
    </row>
    <row r="84" spans="7:8" x14ac:dyDescent="0.25">
      <c r="G84" s="3" t="s">
        <v>83</v>
      </c>
      <c r="H84" s="9">
        <v>59</v>
      </c>
    </row>
    <row r="85" spans="7:8" x14ac:dyDescent="0.25">
      <c r="G85" s="3" t="s">
        <v>101</v>
      </c>
      <c r="H85" s="9">
        <v>36</v>
      </c>
    </row>
    <row r="86" spans="7:8" x14ac:dyDescent="0.25">
      <c r="G86" s="3" t="s">
        <v>102</v>
      </c>
      <c r="H86" s="9">
        <v>82</v>
      </c>
    </row>
    <row r="87" spans="7:8" x14ac:dyDescent="0.25">
      <c r="G87" s="3" t="s">
        <v>110</v>
      </c>
      <c r="H87" s="9">
        <v>54.72</v>
      </c>
    </row>
  </sheetData>
  <mergeCells count="2">
    <mergeCell ref="A1:B1"/>
    <mergeCell ref="S6:T6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534B-556B-4E86-A1AD-89BE4335555C}">
  <dimension ref="A1"/>
  <sheetViews>
    <sheetView tabSelected="1" zoomScale="50" zoomScaleNormal="50" workbookViewId="0">
      <selection activeCell="Y33" sqref="Y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Dashboard.View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Dinu Sathsarani</dc:creator>
  <cp:lastModifiedBy>Ranasingha R.A.D.S IT24103648</cp:lastModifiedBy>
  <dcterms:created xsi:type="dcterms:W3CDTF">2015-06-05T18:17:20Z</dcterms:created>
  <dcterms:modified xsi:type="dcterms:W3CDTF">2026-05-23T04:11:54Z</dcterms:modified>
</cp:coreProperties>
</file>